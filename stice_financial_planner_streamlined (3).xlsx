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ssumptions" sheetId="2" r:id="rId6"/>
    <sheet state="visible" name="5-Year Pro Forma" sheetId="3" r:id="rId7"/>
    <sheet state="visible" name="Budget vs Actual" sheetId="4" r:id="rId8"/>
    <sheet state="visible" name="Balance Sheet" sheetId="5" r:id="rId9"/>
    <sheet state="visible" name="Config" sheetId="6" r:id="rId10"/>
    <sheet state="visible" name="Raw Data" sheetId="7" r:id="rId11"/>
    <sheet state="visible" name="Import" sheetId="8" r:id="rId12"/>
    <sheet state="visible" name="Tools" sheetId="9" r:id="rId13"/>
    <sheet state="visible" name="Archive" sheetId="10" r:id="rId14"/>
    <sheet state="visible" name="Instructions" sheetId="11" r:id="rId15"/>
  </sheets>
  <definedNames/>
  <calcPr/>
</workbook>
</file>

<file path=xl/sharedStrings.xml><?xml version="1.0" encoding="utf-8"?>
<sst xmlns="http://schemas.openxmlformats.org/spreadsheetml/2006/main" count="4401" uniqueCount="1033">
  <si>
    <t>STICE FAMILY FINANCIAL DASHBOARD</t>
  </si>
  <si>
    <t>STRATEGIC STATUS</t>
  </si>
  <si>
    <t>Metric</t>
  </si>
  <si>
    <t>Value</t>
  </si>
  <si>
    <t>Combined Gross Income</t>
  </si>
  <si>
    <t>Combined Net Income</t>
  </si>
  <si>
    <t>Annual Expenses (Budget)</t>
  </si>
  <si>
    <t>Annual Free Cash Flow</t>
  </si>
  <si>
    <t>Monthly FCF</t>
  </si>
  <si>
    <t>Savings Rate</t>
  </si>
  <si>
    <t>KEY STRATEGIC QUESTIONS</t>
  </si>
  <si>
    <t>Can we afford current lifestyle?</t>
  </si>
  <si>
    <t>Runway if James venture fails?</t>
  </si>
  <si>
    <t>Can we afford baby + house?</t>
  </si>
  <si>
    <t>ACTUAL PERFORMANCE</t>
  </si>
  <si>
    <t>Period Total</t>
  </si>
  <si>
    <t>Monthly Avg</t>
  </si>
  <si>
    <t>Status</t>
  </si>
  <si>
    <t>Total Income</t>
  </si>
  <si>
    <t>Total Expenses</t>
  </si>
  <si>
    <t>Net Cash Flow</t>
  </si>
  <si>
    <t>TOP SPENDING CATEGORIES (Monthly Avg)</t>
  </si>
  <si>
    <t>Category</t>
  </si>
  <si>
    <t>Actual/Mo</t>
  </si>
  <si>
    <t>Budget/Mo</t>
  </si>
  <si>
    <t>Variance</t>
  </si>
  <si>
    <t>Groceries</t>
  </si>
  <si>
    <t>Shopping</t>
  </si>
  <si>
    <t>Restaurants &amp; Bars</t>
  </si>
  <si>
    <t>Amazon (Merchant)</t>
  </si>
  <si>
    <t>NEXT ACTIONS</t>
  </si>
  <si>
    <t>1. Update Assumptions sheet with actual account balances</t>
  </si>
  <si>
    <t>2. Track Laura's actual billable hours monthly</t>
  </si>
  <si>
    <t>3. Review Budget vs Actual for category deep-dives</t>
  </si>
  <si>
    <t>4. Update Config dates for new analysis periods</t>
  </si>
  <si>
    <t>STICE FAMILY FINANCIAL MODEL - ASSUMPTIONS</t>
  </si>
  <si>
    <t>All blue cells are inputs. Changes flow through entire model.</t>
  </si>
  <si>
    <t>LAURA - EVOLVE FAMILY LAW PARTNER</t>
  </si>
  <si>
    <t>Driver</t>
  </si>
  <si>
    <t>Notes</t>
  </si>
  <si>
    <t>Base/Draw</t>
  </si>
  <si>
    <t>Guaranteed monthly draw annualized</t>
  </si>
  <si>
    <t>Target Billable Hours/Year</t>
  </si>
  <si>
    <t>Hours</t>
  </si>
  <si>
    <t>Effective Hourly Rate</t>
  </si>
  <si>
    <t>Blended rate after realization</t>
  </si>
  <si>
    <t>Realization Rate</t>
  </si>
  <si>
    <t>Collections / Billings</t>
  </si>
  <si>
    <t>Origination Bonus Rate</t>
  </si>
  <si>
    <t>On new business brought in</t>
  </si>
  <si>
    <t>Estimated Originations</t>
  </si>
  <si>
    <t>New client business/year</t>
  </si>
  <si>
    <t>CALCULATED INCOME</t>
  </si>
  <si>
    <t>Billable Revenue</t>
  </si>
  <si>
    <t>Origination Bonus</t>
  </si>
  <si>
    <t>2026</t>
  </si>
  <si>
    <t>2027</t>
  </si>
  <si>
    <t>2028</t>
  </si>
  <si>
    <t>2029</t>
  </si>
  <si>
    <t>2030</t>
  </si>
  <si>
    <t>Total Gross Compensation</t>
  </si>
  <si>
    <t>Est. Effective Tax Rate</t>
  </si>
  <si>
    <t>Est. Taxes &amp; Deductions</t>
  </si>
  <si>
    <t>Laura Net Take-Home</t>
  </si>
  <si>
    <t>JAMES - CURRENT + VENTURE</t>
  </si>
  <si>
    <t>Current Passive Income</t>
  </si>
  <si>
    <t>Ep Atlanta</t>
  </si>
  <si>
    <t>Venture Revenue - Year 1</t>
  </si>
  <si>
    <t>New company</t>
  </si>
  <si>
    <t>Venture Revenue - Year 2</t>
  </si>
  <si>
    <t>Venture Revenue - Year 3</t>
  </si>
  <si>
    <t>Low scenario</t>
  </si>
  <si>
    <t>Venture Revenue - Year 4</t>
  </si>
  <si>
    <t>Building</t>
  </si>
  <si>
    <t>Venture Revenue - Year 5</t>
  </si>
  <si>
    <t>Base case target</t>
  </si>
  <si>
    <t>Venture Tax Rate</t>
  </si>
  <si>
    <t>Self-employment + income</t>
  </si>
  <si>
    <t>EXPENSE ASSUMPTIONS</t>
  </si>
  <si>
    <t>Monthly</t>
  </si>
  <si>
    <t>Housing - Morningside P&amp;I</t>
  </si>
  <si>
    <t>Fixed 30yr</t>
  </si>
  <si>
    <t>Housing - Tax/Ins/HOA Monthly</t>
  </si>
  <si>
    <t>Will increase ~3%/yr</t>
  </si>
  <si>
    <t>Student Loans Monthly</t>
  </si>
  <si>
    <t>Aidvantage</t>
  </si>
  <si>
    <t>Auto Payment Monthly</t>
  </si>
  <si>
    <t>Lease</t>
  </si>
  <si>
    <t>Childcare Monthly (Baby, May 2027)</t>
  </si>
  <si>
    <t>Estimate</t>
  </si>
  <si>
    <t>Groceries Monthly</t>
  </si>
  <si>
    <t>Target</t>
  </si>
  <si>
    <t>All Other Monthly</t>
  </si>
  <si>
    <t>Discretionary + misc</t>
  </si>
  <si>
    <t>Annual Inflation Rate</t>
  </si>
  <si>
    <t>For projections</t>
  </si>
  <si>
    <t>BALANCE SHEET ASSUMPTIONS</t>
  </si>
  <si>
    <t>Item</t>
  </si>
  <si>
    <t>Rawlins Sale Net Proceeds</t>
  </si>
  <si>
    <t>April 2026</t>
  </si>
  <si>
    <t>Current Liquid Assets</t>
  </si>
  <si>
    <t>Cash + brokerage</t>
  </si>
  <si>
    <t>Current Retirement</t>
  </si>
  <si>
    <t>401k + IRA</t>
  </si>
  <si>
    <t>Morningside Mortgage Balance</t>
  </si>
  <si>
    <t>Starting</t>
  </si>
  <si>
    <t>Student Loan Balance</t>
  </si>
  <si>
    <t>Other Debt</t>
  </si>
  <si>
    <t>Auto</t>
  </si>
  <si>
    <t>Investment Return Rate</t>
  </si>
  <si>
    <t>Annual</t>
  </si>
  <si>
    <t>Mortgage Rate</t>
  </si>
  <si>
    <t>Fixed</t>
  </si>
  <si>
    <t>STICE FAMILY 5-YEAR FINANCIAL PROJECTION</t>
  </si>
  <si>
    <t>REVENUE</t>
  </si>
  <si>
    <t>Laura - Gross Comp</t>
  </si>
  <si>
    <t>James - Passive (Ep Atlanta)</t>
  </si>
  <si>
    <t>James - Venture</t>
  </si>
  <si>
    <t>TOTAL GROSS REVENUE</t>
  </si>
  <si>
    <t>TAXES</t>
  </si>
  <si>
    <t>Laura - Est. Taxes (30%)</t>
  </si>
  <si>
    <t>James - Est. Taxes (25%)</t>
  </si>
  <si>
    <t>TOTAL TAXES</t>
  </si>
  <si>
    <t>NET INCOME (After Tax)</t>
  </si>
  <si>
    <t>OPERATING EXPENSES</t>
  </si>
  <si>
    <t>Housing (P&amp;I)</t>
  </si>
  <si>
    <t>Housing (Tax/Ins/HOA)</t>
  </si>
  <si>
    <t>Student Loans</t>
  </si>
  <si>
    <t>Childcare</t>
  </si>
  <si>
    <t>All Other</t>
  </si>
  <si>
    <t>TOTAL EXPENSES</t>
  </si>
  <si>
    <t>FREE CASH FLOW</t>
  </si>
  <si>
    <t>BALANCE SHEET</t>
  </si>
  <si>
    <t>Beginning Liquid Assets</t>
  </si>
  <si>
    <t>+ Free Cash Flow</t>
  </si>
  <si>
    <t>Ending Liquid Assets</t>
  </si>
  <si>
    <t>Home Value (3% appreciation)</t>
  </si>
  <si>
    <t>Mortgage Balance</t>
  </si>
  <si>
    <t>Home Equity</t>
  </si>
  <si>
    <t>TOTAL NET WORTH</t>
  </si>
  <si>
    <t>QUICK SCENARIOS</t>
  </si>
  <si>
    <t>Scenario</t>
  </si>
  <si>
    <t>2030 Net Worth</t>
  </si>
  <si>
    <t>Base Case (Current)</t>
  </si>
  <si>
    <t>Model assumptions</t>
  </si>
  <si>
    <t>James Venture Fails</t>
  </si>
  <si>
    <t>No venture income</t>
  </si>
  <si>
    <t>Laura Hours Drop 20%</t>
  </si>
  <si>
    <t>Reduced billings</t>
  </si>
  <si>
    <t>BUDGET VS ACTUAL</t>
  </si>
  <si>
    <t>CATEGORY BUDGETS</t>
  </si>
  <si>
    <t>vs Prior</t>
  </si>
  <si>
    <t>Gas</t>
  </si>
  <si>
    <t>Entertainment &amp; Recreation</t>
  </si>
  <si>
    <t>Medical</t>
  </si>
  <si>
    <t>Personal</t>
  </si>
  <si>
    <t>Clothing</t>
  </si>
  <si>
    <t>Home Improvement</t>
  </si>
  <si>
    <t>Education</t>
  </si>
  <si>
    <t>Fitness</t>
  </si>
  <si>
    <t>Child Care</t>
  </si>
  <si>
    <t>Coffee Shops</t>
  </si>
  <si>
    <t>Parking &amp; Tolls</t>
  </si>
  <si>
    <t>MERCHANT BUDGETS</t>
  </si>
  <si>
    <t>Amazon</t>
  </si>
  <si>
    <t>Uber Eats</t>
  </si>
  <si>
    <t>Publix</t>
  </si>
  <si>
    <t>MERCHANT DEEP-DIVES</t>
  </si>
  <si>
    <t>Transactions:</t>
  </si>
  <si>
    <t>Avg/order:</t>
  </si>
  <si>
    <t>Grocery Stores</t>
  </si>
  <si>
    <t>Kroger</t>
  </si>
  <si>
    <t>Sprouts</t>
  </si>
  <si>
    <t>Costco</t>
  </si>
  <si>
    <t>📊 STICE FAMILY BALANCE SHEET</t>
  </si>
  <si>
    <t>As of January 29, 2026 - Blue cells are inputs to update</t>
  </si>
  <si>
    <t>ASSETS</t>
  </si>
  <si>
    <t>Real Estate</t>
  </si>
  <si>
    <t>761 E Morningside Dr NE (New Home)</t>
  </si>
  <si>
    <t>Purchase price 1/29/26</t>
  </si>
  <si>
    <t>980 Rawlins St SE (Current Home - Selling April)</t>
  </si>
  <si>
    <t>Est. market value</t>
  </si>
  <si>
    <t>Total Real Estate</t>
  </si>
  <si>
    <t>Investment Accounts</t>
  </si>
  <si>
    <t>Schwab Brokerage</t>
  </si>
  <si>
    <t>Estimate - update with actual</t>
  </si>
  <si>
    <t>Robinhood</t>
  </si>
  <si>
    <t>Retirement Accounts (401k/IRA)</t>
  </si>
  <si>
    <t>Total Investments</t>
  </si>
  <si>
    <t>Cash &amp; Bank Accounts</t>
  </si>
  <si>
    <t>Wells Fargo Checking (...2051)</t>
  </si>
  <si>
    <t>Wells Fargo Savings (...8781)</t>
  </si>
  <si>
    <t>Schwab Checking (...915)</t>
  </si>
  <si>
    <t>Total Cash</t>
  </si>
  <si>
    <t>TOTAL ASSETS</t>
  </si>
  <si>
    <t>LIABILITIES</t>
  </si>
  <si>
    <t>Mortgages</t>
  </si>
  <si>
    <t>Morningside Home (UWM)</t>
  </si>
  <si>
    <t>5.5%, 30yr, $4,692.48 P&amp;I</t>
  </si>
  <si>
    <t>Rawlins Home (Mr. Cooper)</t>
  </si>
  <si>
    <t>Estimate - paying off in April</t>
  </si>
  <si>
    <t>Total Mortgages</t>
  </si>
  <si>
    <t>Student Loans (Aidvantage)</t>
  </si>
  <si>
    <t>Estimate - $1,024/mo payment</t>
  </si>
  <si>
    <t>Auto Loan</t>
  </si>
  <si>
    <t>Estimate - $680/mo payment</t>
  </si>
  <si>
    <t>Credit Cards</t>
  </si>
  <si>
    <t>Paid in full monthly</t>
  </si>
  <si>
    <t>Total Other Debt</t>
  </si>
  <si>
    <t>TOTAL LIABILITIES</t>
  </si>
  <si>
    <t>NET WORTH</t>
  </si>
  <si>
    <t>CONFIGURATION &amp; SETTINGS</t>
  </si>
  <si>
    <t>📅 ANALYSIS PERIOD</t>
  </si>
  <si>
    <t>These dates control what period all reports analyze. Adjust as needed.</t>
  </si>
  <si>
    <t>Analysis Start Date:</t>
  </si>
  <si>
    <t>Analysis End Date:</t>
  </si>
  <si>
    <t>Days in Period:</t>
  </si>
  <si>
    <t>Months in Period:</t>
  </si>
  <si>
    <t>QUICK PERIOD PRESETS (copy formulas to B6/B7):</t>
  </si>
  <si>
    <t>Period</t>
  </si>
  <si>
    <t>Start Formula</t>
  </si>
  <si>
    <t>End Formula</t>
  </si>
  <si>
    <t>Last 30 days</t>
  </si>
  <si>
    <t>Last 60 days</t>
  </si>
  <si>
    <t>Last 90 days</t>
  </si>
  <si>
    <t>This month</t>
  </si>
  <si>
    <t>Last month</t>
  </si>
  <si>
    <t>Year to date</t>
  </si>
  <si>
    <t>All data</t>
  </si>
  <si>
    <t>📊 DATA STATISTICS</t>
  </si>
  <si>
    <t>Total rows in Raw Data:</t>
  </si>
  <si>
    <t>Earliest transaction:</t>
  </si>
  <si>
    <t>Latest transaction:</t>
  </si>
  <si>
    <t>Rows in analysis period:</t>
  </si>
  <si>
    <t>💰 MONTHLY BUDGET TARGETS</t>
  </si>
  <si>
    <t>🏪 MERCHANT BUDGETS</t>
  </si>
  <si>
    <t>Monthly Budget</t>
  </si>
  <si>
    <t>Merchant Contains</t>
  </si>
  <si>
    <t>Target Savings Rate:</t>
  </si>
  <si>
    <t>🏠 NEW MORTGAGE (Morningside)</t>
  </si>
  <si>
    <t>Monthly P&amp;I:</t>
  </si>
  <si>
    <t>📊 EXCLUDED TRANSACTIONS</t>
  </si>
  <si>
    <t>Monthly Taxes/Ins/HOA:</t>
  </si>
  <si>
    <t>Business pass-through count:</t>
  </si>
  <si>
    <t>Total Monthly Housing:</t>
  </si>
  <si>
    <t>Business pass-through total:</t>
  </si>
  <si>
    <t>Split parent count:</t>
  </si>
  <si>
    <t>💰 CAPITAL EXPENSE PLANNING</t>
  </si>
  <si>
    <t>Est. Cost</t>
  </si>
  <si>
    <t>Months Away</t>
  </si>
  <si>
    <t>Monthly Set-Aside</t>
  </si>
  <si>
    <t>Car Tires</t>
  </si>
  <si>
    <t>HVAC Service</t>
  </si>
  <si>
    <t>Baby Nursery</t>
  </si>
  <si>
    <t>Hospital/Maternity</t>
  </si>
  <si>
    <t>Home Repairs</t>
  </si>
  <si>
    <t>TOTAL</t>
  </si>
  <si>
    <t>MASTER TRANSACTION DATA - Type column: blank=Personal (included), "Business"=excluded, "Split-Parent"=excluded (see split rows)</t>
  </si>
  <si>
    <t>Date</t>
  </si>
  <si>
    <t>Merchant</t>
  </si>
  <si>
    <t>Account</t>
  </si>
  <si>
    <t>Original Statement</t>
  </si>
  <si>
    <t>Amount</t>
  </si>
  <si>
    <t>Tags</t>
  </si>
  <si>
    <t>Owner</t>
  </si>
  <si>
    <t>Type</t>
  </si>
  <si>
    <t>Split From Row</t>
  </si>
  <si>
    <t>EVERYDAY CHECKING (...2051)</t>
  </si>
  <si>
    <t>RECURRING PAYMENT                       AUTHORIZED ON   01/27 TARGET.COM                WWW.TARGET.CO MN  S586027475145667   CARD 6865</t>
  </si>
  <si>
    <t>Laura Holland Stice</t>
  </si>
  <si>
    <t>Delta SkyMiles® Reserve Card (...1009)</t>
  </si>
  <si>
    <t>PUBLIX</t>
  </si>
  <si>
    <t>Jimmy Stice</t>
  </si>
  <si>
    <t>Schwab Investor Card (...1004)</t>
  </si>
  <si>
    <t>AMAZON MARKETPLACE NAMZN.COM/BILL WA</t>
  </si>
  <si>
    <t>AMAZON DIGIT*6U7XG25888-802-3080 WA</t>
  </si>
  <si>
    <t>Prime Video</t>
  </si>
  <si>
    <t>Delta SkyMiles® Reserve Card (...1007)</t>
  </si>
  <si>
    <t>PRIME VIDEO CHANNELSAMZN.COM/BILL WA</t>
  </si>
  <si>
    <t>AMAZON MARKEPLACE NA PA</t>
  </si>
  <si>
    <t>Experian</t>
  </si>
  <si>
    <t>Financial Fees</t>
  </si>
  <si>
    <t>RECURRING PAYMENT                       AUTHORIZED ON   01/26 Experian* Credit R        479-3436237   CA  S466026377287718   CARD 6865</t>
  </si>
  <si>
    <t>CVS</t>
  </si>
  <si>
    <t>PURCHASE                                AUTHORIZED ON   01/27 CVS/PHARMACY #07 07336--5 ATLANTA       GA  P386027521582936   CARD 6865</t>
  </si>
  <si>
    <t>AT&amp;T</t>
  </si>
  <si>
    <t>Phone</t>
  </si>
  <si>
    <t>ATT              PAYMENT    012526 474125001EPAYI  LAURA HOLLAND SCLAFANI</t>
  </si>
  <si>
    <t>JP Morgan Chase</t>
  </si>
  <si>
    <t>Transfer</t>
  </si>
  <si>
    <t>JPMorgan Chase   Ext Trnsfr 260127 27393484711     LAURA HOLLAND SCLAFANI</t>
  </si>
  <si>
    <t>Rhino</t>
  </si>
  <si>
    <t>Auto Maintenance</t>
  </si>
  <si>
    <t>RHINO AIR GA</t>
  </si>
  <si>
    <t>KROGER</t>
  </si>
  <si>
    <t>Morningside Plum</t>
  </si>
  <si>
    <t>Investor Checking ...915 (...915)</t>
  </si>
  <si>
    <t>MORNINGSIDE PLUM WEB PMTS 012726</t>
  </si>
  <si>
    <t>CVS PHARMACY ATLANTA GA</t>
  </si>
  <si>
    <t>Spotify</t>
  </si>
  <si>
    <t>RECURRING PAYMENT                       AUTHORIZED ON   01/23 Spotify P3EAE071EB        New York      NY  S386024265790462   CARD 6865</t>
  </si>
  <si>
    <t>American Express</t>
  </si>
  <si>
    <t>Amex Send: Add Money</t>
  </si>
  <si>
    <t>Replit Inc</t>
  </si>
  <si>
    <t>REPLIT, INC. FOSTER CITY CA</t>
  </si>
  <si>
    <t>Funds Transfer</t>
  </si>
  <si>
    <t>Funds Transfer from Brokerage -4754</t>
  </si>
  <si>
    <t>Journal</t>
  </si>
  <si>
    <t>Other Income</t>
  </si>
  <si>
    <t>Jimmy ...754 (...754)</t>
  </si>
  <si>
    <t>JOURNAL FRM ...824</t>
  </si>
  <si>
    <t>Charles Schwab</t>
  </si>
  <si>
    <t>TRANSFER FUNDS TO SCHWAB BANK - ...915</t>
  </si>
  <si>
    <t>UBER EATS help.uber.com CA</t>
  </si>
  <si>
    <t>UBER EATS HTTPS://HELP.UBER.COCA</t>
  </si>
  <si>
    <t>Bounteous</t>
  </si>
  <si>
    <t>BT*GO PUFF*GB LIC. UPHILADELPHIA PA</t>
  </si>
  <si>
    <t>Go Outdoors Georgia</t>
  </si>
  <si>
    <t>GA GOV-DNR GO OUTDOORS 800-366-2661</t>
  </si>
  <si>
    <t>Chick-fil-A</t>
  </si>
  <si>
    <t>CHICK-FIL-A #04379 0CANTON GA</t>
  </si>
  <si>
    <t>BP</t>
  </si>
  <si>
    <t>BP#1444500BP FOOD MACANTON GA</t>
  </si>
  <si>
    <t>BP#8983496AM/PM BOUATLANTA GA</t>
  </si>
  <si>
    <t>Ba at Emory</t>
  </si>
  <si>
    <t>BA AT EMORY U MISSJEATLANTA GA</t>
  </si>
  <si>
    <t>AMAZON TIPS*YM4DH4D7AMZN.COM/BILL WA</t>
  </si>
  <si>
    <t>Giftly Credit Ge Mtue Laura Sclafani</t>
  </si>
  <si>
    <t>Gifts</t>
  </si>
  <si>
    <t>Giftly               Credit 260123 GIFTLY-ge8MTUE6 LAURA SCLAFANI</t>
  </si>
  <si>
    <t>Recurring Payment State</t>
  </si>
  <si>
    <t>RECURRING PAYMENT                       AUTHORIZED ON   01/22 STATE RD AND TOLLW        855-7247277   GA  S346022352707023   CARD 6865</t>
  </si>
  <si>
    <t>PURCHASE                                AUTHORIZED ON   01/23 CVS/PHARMACY #07 07336--5 ATLANTA       GA  P586023707183877   CARD 6865</t>
  </si>
  <si>
    <t>Preferred School Laura Sclafani</t>
  </si>
  <si>
    <t>PREFERRED SCHOOL PURCHASE   260123       XXXXX3469 Laura Sclafani</t>
  </si>
  <si>
    <t>QuikTrip</t>
  </si>
  <si>
    <t>AplPay QT 1710 INSIDGAINESVILLE GA</t>
  </si>
  <si>
    <t>Lightning Bug</t>
  </si>
  <si>
    <t>LIGHTNING BUG ELECTRMARIETTA GA</t>
  </si>
  <si>
    <t>Farmhouse Market</t>
  </si>
  <si>
    <t>FARMHOUSE MARKET LAKCLAYTON GA</t>
  </si>
  <si>
    <t>Great Clips</t>
  </si>
  <si>
    <t>7062 GREAT CLIPS AT ATLANTA GA</t>
  </si>
  <si>
    <t>AMAZON GROCE*143LD14AMZN.COM/BILL WA</t>
  </si>
  <si>
    <t>Apple</t>
  </si>
  <si>
    <t>RECURRING PAYMENT                       AUTHORIZED ON   01/19 APPLE.COM/BILL            866-712-7753  CA  S586020214609309   CARD 6865</t>
  </si>
  <si>
    <t>Nintendo</t>
  </si>
  <si>
    <t>PURCHASE                                AUTHORIZED ON   01/20 Nintendo CA1551232        800-2553700   WA  S306020831991820   CARD 6865</t>
  </si>
  <si>
    <t>State Farm</t>
  </si>
  <si>
    <t>Insurance</t>
  </si>
  <si>
    <t>STATE FARM RO 27 SFPP              27 S 1861366327 LAURA SCLAFANI</t>
  </si>
  <si>
    <t>STATE FARM RO 27 CPC-CLIENT        27 J 1160762968 LAURA SCLAFANI</t>
  </si>
  <si>
    <t>Deshotels Arms Inc</t>
  </si>
  <si>
    <t>Platinum (...7760)</t>
  </si>
  <si>
    <t>DESHOTELS ARMS INC</t>
  </si>
  <si>
    <t>Corp Paid Features About Com</t>
  </si>
  <si>
    <t>Advertising &amp; Promotion</t>
  </si>
  <si>
    <t>X CORP. PAID FEATURES ABOUT.X.COM</t>
  </si>
  <si>
    <t>Marathon</t>
  </si>
  <si>
    <t>MARATHON 232611 CLEVELAND GA</t>
  </si>
  <si>
    <t>Ingles Markets</t>
  </si>
  <si>
    <t>INGLES MARKETS CLEVELAND GA</t>
  </si>
  <si>
    <t>The Washington Post</t>
  </si>
  <si>
    <t>TWP*SUB72435483 WASHINGTON DC</t>
  </si>
  <si>
    <t>AMAZON.COM AMZN.COM/BILL WA</t>
  </si>
  <si>
    <t>Farm Burger Decatur</t>
  </si>
  <si>
    <t>PURCHASE                                AUTHORIZED ON   01/15 TST* FARM BURGER -        DECATUR       GA  S386015854242022   CARD 6865</t>
  </si>
  <si>
    <t>ParkMobile</t>
  </si>
  <si>
    <t>PURCHASE                                AUTHORIZED ON   01/16 AT043 - 521 PEACHT        parkmobilecom GA  S306016541246647   CARD 6865</t>
  </si>
  <si>
    <t>Dacula</t>
  </si>
  <si>
    <t>Uncategorized</t>
  </si>
  <si>
    <t>PURCHASE                                AUTHORIZED ON   01/16 QT 784                    DACULA        GA  S346016787652578   CARD 6865</t>
  </si>
  <si>
    <t>Starbucks</t>
  </si>
  <si>
    <t>PURCHASE                                AUTHORIZED ON   01/18 STARBUCKS STORE 11        CLEMMONS      NC  S346018639469154   CARD 6865</t>
  </si>
  <si>
    <t>PUBLIX #1825 0000018ATLANTA GA</t>
  </si>
  <si>
    <t>PUBLIX ATLANTA GA</t>
  </si>
  <si>
    <t>Speedway</t>
  </si>
  <si>
    <t>SPEEDWAY 46853 00004CLEMMONS NC</t>
  </si>
  <si>
    <t>QT 709/QUIKTRIP 5542ATLANTA GA</t>
  </si>
  <si>
    <t>QT DACULA GA</t>
  </si>
  <si>
    <t>QT 709/QUIKTRIP 5541ATLANTA GA</t>
  </si>
  <si>
    <t>Nuuly</t>
  </si>
  <si>
    <t>NUULY PHILADELPHIA PA</t>
  </si>
  <si>
    <t>AMOCO#2119400WALKERSCHARLOTTE NC</t>
  </si>
  <si>
    <t>Anthropic Com</t>
  </si>
  <si>
    <t>ANTHROPIC ANTHROPIC.COM</t>
  </si>
  <si>
    <t>Google One</t>
  </si>
  <si>
    <t>Miscellaneous</t>
  </si>
  <si>
    <t>GOOGLE*GOOGLE ONE GO G.CO HELPPAY#</t>
  </si>
  <si>
    <t>Ross Dress for Less</t>
  </si>
  <si>
    <t>ROSS DRESS FOR LESS CLEMMONS NC</t>
  </si>
  <si>
    <t>Github</t>
  </si>
  <si>
    <t>GITHUB, INC. SAN FRANCISCO CA</t>
  </si>
  <si>
    <t>Anthropic</t>
  </si>
  <si>
    <t>ANTHROPIC SAN FRANCISCO CA</t>
  </si>
  <si>
    <t>Mavis</t>
  </si>
  <si>
    <t>Auto Payment</t>
  </si>
  <si>
    <t>MAVIS04299 04065 CLEMMONS NC</t>
  </si>
  <si>
    <t>Clio.com</t>
  </si>
  <si>
    <t>Financial &amp; Legal Services</t>
  </si>
  <si>
    <t>CLIO.COM 888-858-254WILMINGTON DE</t>
  </si>
  <si>
    <t>Wendy's</t>
  </si>
  <si>
    <t>WENDY'S #4566 000004BLACKSBURG SC</t>
  </si>
  <si>
    <t>Pilot Flying J</t>
  </si>
  <si>
    <t>PILOT_04566 04566 BLACKSBURG SC</t>
  </si>
  <si>
    <t>CHICK-FIL-A #04395 0ANDERSON SC</t>
  </si>
  <si>
    <t>BP#8980989BP MEMORIAATLANTA GA</t>
  </si>
  <si>
    <t>Gundog Outdoors</t>
  </si>
  <si>
    <t>SP GUNDOG OUTDOORS BRIDGER MT</t>
  </si>
  <si>
    <t>Claude Ai Subscription Anthropic Com</t>
  </si>
  <si>
    <t>CLAUDE.AI SUBSCRIPTION ANTHROPIC.COM</t>
  </si>
  <si>
    <t>Evolve Fa Direct Deposit Selafani Laura</t>
  </si>
  <si>
    <t>Paychecks</t>
  </si>
  <si>
    <t>016180 EVOLVE FA DIRDEP     260116      9          SELAFANI, LAURA H</t>
  </si>
  <si>
    <t>Care.com</t>
  </si>
  <si>
    <t>RECURRING PAYMENT                       AUTHORIZED ON   01/14 CCI*CARE.COM              737-2023114   MA  S586015201780957   CARD 6865</t>
  </si>
  <si>
    <t>Outside</t>
  </si>
  <si>
    <t>PURCHASE                                AUTHORIZED ON   01/16 QT 784 OUTSIDE            DACULA        GA  P586016782823335   CARD 6865</t>
  </si>
  <si>
    <t>CHICK-FIL-A #01496 0EAST POINT GA</t>
  </si>
  <si>
    <t>Fulton Veh Tag</t>
  </si>
  <si>
    <t>PMT*FULTON VEH TAG 0ATLANTA GA</t>
  </si>
  <si>
    <t>Serv Fee</t>
  </si>
  <si>
    <t>GW SERV-FEE KENNESAW GA</t>
  </si>
  <si>
    <t>Pinemtn Court Pine</t>
  </si>
  <si>
    <t>GW PINEMTN COURT 739PINE MOUNTAIN GA</t>
  </si>
  <si>
    <t>the YMCA</t>
  </si>
  <si>
    <t>Child Activities</t>
  </si>
  <si>
    <t>PAY*YMCA CAMP HIGH H404-5889622 GA</t>
  </si>
  <si>
    <t>Sprouts Farmers Market</t>
  </si>
  <si>
    <t>PURCHASE                                AUTHORIZED ON   01/15 SPROUTS FARMERS MARKET #  TUCKER        GA  P306015614485930   CARD 6865</t>
  </si>
  <si>
    <t>PREFERRED SCHOOL PURCHASE   260115       XXXXX5603 Laura Sclafani</t>
  </si>
  <si>
    <t>Zelle</t>
  </si>
  <si>
    <t>ZELLE FROM JAMES STICE</t>
  </si>
  <si>
    <t>Funds Transfer to Brokerage -4754</t>
  </si>
  <si>
    <t>TRANSFER FUNDS FROM SCHWAB BANK - ...915</t>
  </si>
  <si>
    <t>Wired Funds Disbursed</t>
  </si>
  <si>
    <t>WIRED FUNDS DISBURSED</t>
  </si>
  <si>
    <t>Credit Card Payment</t>
  </si>
  <si>
    <t>AMEX EPAYMENT ACH PMT 260115</t>
  </si>
  <si>
    <t>KROGER #672 00000067ATLANTA GA</t>
  </si>
  <si>
    <t>Rhino Air Ga Canton</t>
  </si>
  <si>
    <t>CTLP*RHINO AIR GA CANTON GA</t>
  </si>
  <si>
    <t>Sacred Thread Yoga</t>
  </si>
  <si>
    <t>RECURRING PAYMENT                       AUTHORIZED ON   01/12 SACRED THREAD YOGA        404-8447243   GA  S386013187830858   CARD 6865</t>
  </si>
  <si>
    <t>PURCHASE                                AUTHORIZED ON   01/13 AT043 - 521 PEACHT        parkmobilecom GA  S466013722106716   CARD 6865</t>
  </si>
  <si>
    <t>Marekhealth.com</t>
  </si>
  <si>
    <t>WWW.MAREKHEALTH.COM BLOOMFIELD HILLS MI</t>
  </si>
  <si>
    <t>Payment</t>
  </si>
  <si>
    <t>ONLINE PAYMENT - THANK YOU</t>
  </si>
  <si>
    <t>Uber</t>
  </si>
  <si>
    <t>Taxi &amp; Ride Shares</t>
  </si>
  <si>
    <t>Uber Trip help.uber.com CA</t>
  </si>
  <si>
    <t>Taco Bell</t>
  </si>
  <si>
    <t>AplPay TACO BELL ATLANTA GA</t>
  </si>
  <si>
    <t>Pat Murphy Electric</t>
  </si>
  <si>
    <t>Business Utilities &amp; Communication</t>
  </si>
  <si>
    <t>PAT MURPHY ELECTRIC TUCKER GA</t>
  </si>
  <si>
    <t>CHICK-FIL-A #03351 0ATLANTA GA</t>
  </si>
  <si>
    <t>Wpengine.com</t>
  </si>
  <si>
    <t>WPENGINE.COM AUSTIN TX</t>
  </si>
  <si>
    <t>RECURRING PAYMENT                       AUTHORIZED ON   01/12 APPLE.COM/BILL            866-712-7753  CA  S386012727294700   CARD 6865</t>
  </si>
  <si>
    <t>RHS BROKERAGE DEPOSIT ROBINHOOD.COM</t>
  </si>
  <si>
    <t>Lens.com</t>
  </si>
  <si>
    <t>****LENS.COM 800-536-7266 NV</t>
  </si>
  <si>
    <t>1 x STARBUCKS 40 OZ - $6.99
1 x STOK ESPRSSO 48OZ - $6.49</t>
  </si>
  <si>
    <t>Receipt Import</t>
  </si>
  <si>
    <t>1 x GW CHICKEN TENDER - $7.99</t>
  </si>
  <si>
    <t>1 x PUB ANTACID - $3.99</t>
  </si>
  <si>
    <t>1 x CUCUMBERS - $0.99
1 x WTRMLN CHKS SDLS - $4.63
1 x LACROIX ORANGE - $6.59
1 x JUST BARE L/BRD BT - $13.99
1 x LACROIX ORANGE - $6.59
1 x CALIFIA FARMS C/B - $5.99
1 x HERSHEY'S SYRUP - $9.99
1 x CHOB LOW SUGAR 4PK - $5.49
1 x EX-LAX R/S CHOC - $10.49
1 x EB EGGS HARD COOKE - $3.99
1 x STONY PLAIN WHOLE - $5.25
1 x MAYFIELD I/C SDWCH - $5.49
1 x HZ TOMATO KETCHUP - $8.49
1 x EB EGGS HARD COOKE - $3.99
1 x HAPPY EGG ORG 12CT - $6.99
1 x THMS WHEAT ENG MUF - $2.74
1 x BYF SPRING MIX - $3.99
1 x SABRA HUM FAM CLSC - $6.99
1 x ONIONS RED - $1.67</t>
  </si>
  <si>
    <t>Charity</t>
  </si>
  <si>
    <t>1 x SPECIAL OLYMPICS - $5.00</t>
  </si>
  <si>
    <t>AMAZON PRIME*843CJ0BAMZN.COM/BILL WA</t>
  </si>
  <si>
    <t>Canva</t>
  </si>
  <si>
    <t>CANVA* I04759-508427CAMDEN DE</t>
  </si>
  <si>
    <t>OpenAI</t>
  </si>
  <si>
    <t>Electronics</t>
  </si>
  <si>
    <t>OPENAI *CHATGPT SUBSCR OPENAI.COM</t>
  </si>
  <si>
    <t>Venmo</t>
  </si>
  <si>
    <t>VENMO            PAYMENT    260111 1047542711899   LAURA HOLLAND</t>
  </si>
  <si>
    <t>Bp Am Pm</t>
  </si>
  <si>
    <t>PURCHASE                                AUTHORIZED ON   01/10 BP#8983496AM/PM           ATLANTA       GA  P000000953185188   CARD 6865</t>
  </si>
  <si>
    <t>Babylist Checkout</t>
  </si>
  <si>
    <t>PURCHASE                                AUTHORIZED ON   01/10 SP BABYLIST               CHECKOUT.BABY CA  S306010568050355   CARD 6865</t>
  </si>
  <si>
    <t>Recurring Payment Skylight Frame Manage</t>
  </si>
  <si>
    <t>RECURRING PAYMENT                       AUTHORIZED ON   01/10 SP SKYLIGHT FRAME         US.MANAGE.MYS CA  S466010474608549   CARD 6865</t>
  </si>
  <si>
    <t>VENMO            CASHOUT    260112 1047565356048   LAURA HOLLAND</t>
  </si>
  <si>
    <t>Zoom Drain</t>
  </si>
  <si>
    <t>ZOOM DRAIN 436845559ATLANTA GA</t>
  </si>
  <si>
    <t>Wpmu Dev See Com Wpmudev</t>
  </si>
  <si>
    <t>WPMU DEV, SEE WPMU.COM WPMUDEV.COM</t>
  </si>
  <si>
    <t>PREFERRED SCHOOL PURCHASE   260109       XXXXX5472 Laura Sclafani</t>
  </si>
  <si>
    <t>USAA</t>
  </si>
  <si>
    <t>USAA INSURANCE PAYMESAN ANTONIO TX</t>
  </si>
  <si>
    <t>Zoom</t>
  </si>
  <si>
    <t>ZOOM.COM 888-799-966SAN JOSE CA</t>
  </si>
  <si>
    <t>KROGER FUEL CTR #167ATLANTA GA</t>
  </si>
  <si>
    <t>Vietvana</t>
  </si>
  <si>
    <t>TST* VIETVANA - PONCATLANTA GA</t>
  </si>
  <si>
    <t>AMAZON DIGIT*0E0HT4W888-802-3080 WA</t>
  </si>
  <si>
    <t>PREFERRED SCHOOL PURCHASE   260107       XXXXX1157 Laura Sclafani</t>
  </si>
  <si>
    <t>PURCHASE                                AUTHORIZED ON   01/07 SPROUTS FARMERS MARKET #  TUCKER        GA  P306007658996555   CARD 6865</t>
  </si>
  <si>
    <t>Freetaxusa</t>
  </si>
  <si>
    <t>Taxes</t>
  </si>
  <si>
    <t>PURCHASE                                AUTHORIZED ON   01/06 FREETAXUSA.COM            877-2699027   UT  S346006693823834   CARD 6865</t>
  </si>
  <si>
    <t>For Puppetry</t>
  </si>
  <si>
    <t>PURCHASE                                AUTHORIZED ON   01/06 Ctr for Puppetry A        Atlanta       GA  S466006384755135   CARD 6865</t>
  </si>
  <si>
    <t>Freetaxusacom</t>
  </si>
  <si>
    <t>PURCHASE                                AUTHORIZED ON   01/05 FREETAXUSACOM             877-269-9027  UT  S466006020831019   CARD 6865</t>
  </si>
  <si>
    <t>PURCHASE                                AUTHORIZED ON   01/05 FREETAXUSA.COM            877-2699027   UT  S306005856750957   CARD 6865</t>
  </si>
  <si>
    <t>CHICK-FIL-A #00458 0ATLANTA GA</t>
  </si>
  <si>
    <t>Hair Salon &amp; Barbershops</t>
  </si>
  <si>
    <t>WEST BARBERSHOP Atlanta GA</t>
  </si>
  <si>
    <t>PURCHASE                                AUTHORIZED ON   01/05 CHICK-FIL-A #03923        DECATUR       GA  S346005632223794   CARD 6865</t>
  </si>
  <si>
    <t>GoDaddy</t>
  </si>
  <si>
    <t>GODADDY.COM SCOTTSDALE AZ</t>
  </si>
  <si>
    <t>Dropbox</t>
  </si>
  <si>
    <t>DROPBOX*1GQD5YMTDSP2 DROPBOX.COM</t>
  </si>
  <si>
    <t>Mr. Cooper</t>
  </si>
  <si>
    <t>Mortgage</t>
  </si>
  <si>
    <t>NSM DBAMR.COOPER NSM DBAMR  260103 1605601         LAURA *SCLAFANI</t>
  </si>
  <si>
    <t>Cowetafayetteemc Payment Laura Sclafani</t>
  </si>
  <si>
    <t>CowetaFayetteEMC PAYMENT    260102 990000245159457 Laura H Sclafani</t>
  </si>
  <si>
    <t>Recurring Payment Carolinechambers</t>
  </si>
  <si>
    <t>RECURRING PAYMENT                       AUTHORIZED ON   01/03 CAROLINECHAMBERS.C        CAROLINECHAMB CA  S346004118662585   CARD 6865</t>
  </si>
  <si>
    <t>RECURRING PAYMENT                       AUTHORIZED ON   01/02 APPLE.COM/BILL            866-712-7753  CA  S586003231889389   CARD 6865</t>
  </si>
  <si>
    <t>Recurring Payment Gobrands Inc</t>
  </si>
  <si>
    <t>RECURRING PAYMENT                       AUTHORIZED ON   01/02 GOBRANDS INC. - FA        855-400-7833  PA  S466002678575575   CARD 6865</t>
  </si>
  <si>
    <t>Eoc Na</t>
  </si>
  <si>
    <t>EOC00923 NA ATLANTA GA</t>
  </si>
  <si>
    <t>CHICK-FIL-A #00931 0ATLANTA GA</t>
  </si>
  <si>
    <t>AMOCO#8995110BP NORTATLANTA GA</t>
  </si>
  <si>
    <t>Northside</t>
  </si>
  <si>
    <t>5640 NORTHSIDE DR 57SANDY SPRINGS GA</t>
  </si>
  <si>
    <t>ROBINHOOD DEBITS ~ Tran: ACHDW</t>
  </si>
  <si>
    <t>The Family Dog</t>
  </si>
  <si>
    <t>Pets</t>
  </si>
  <si>
    <t>THE FAMILY DOG 73929ATLANTA GA</t>
  </si>
  <si>
    <t>Bennett's</t>
  </si>
  <si>
    <t>TST* BENNETT'S MARKEATLANTA GA</t>
  </si>
  <si>
    <t>Evans Air</t>
  </si>
  <si>
    <t>EVANS AIR CONDITIONIMILNER GA</t>
  </si>
  <si>
    <t>ADVS ED SERV PPD STUDNTLOAN 251231 0000            HOLLAND</t>
  </si>
  <si>
    <t>Big Softie</t>
  </si>
  <si>
    <t>PURCHASE                                AUTHORIZED ON   01/01 SQ *BIG SOFTIE            Atlanta       GA  S346001812782814   CARD 6865</t>
  </si>
  <si>
    <t>Deposited Item Retn Unpaid Paper</t>
  </si>
  <si>
    <t>DEPOSITED ITEM RETN UNPAID - PAPER 260102</t>
  </si>
  <si>
    <t>016180 EVOLVE FA DIRDEP     260102      9          SELAFANI, LAURA H</t>
  </si>
  <si>
    <t>Netflix</t>
  </si>
  <si>
    <t>Netflix.com netflix.com</t>
  </si>
  <si>
    <t>Boomerang Play</t>
  </si>
  <si>
    <t>BOOMERANG PLAY AND PATLANTA GA</t>
  </si>
  <si>
    <t>Google Workspace</t>
  </si>
  <si>
    <t>GOOGLE *WORKSPACE_JRCC@GOOGLE.COM CA</t>
  </si>
  <si>
    <t>Microsoft</t>
  </si>
  <si>
    <t>MICROSOFT MSBILL.INFO</t>
  </si>
  <si>
    <t>Lumin Bavs Weqrd Christchurch</t>
  </si>
  <si>
    <t>LUMIN PDF J2BAVS6WEQRD CHRISTCHURCH</t>
  </si>
  <si>
    <t>Uwm Appraisal</t>
  </si>
  <si>
    <t>UWM APPRAISAL DIRECTLAHAINA HI</t>
  </si>
  <si>
    <t>Mobile Deposit</t>
  </si>
  <si>
    <t>MOBILE DEPOSIT : REF NUMBER :006310258315</t>
  </si>
  <si>
    <t>016180 EVOLVE FA DIRDEP     251231      9          SELAFANI, LAURA H</t>
  </si>
  <si>
    <t>Interest Payment</t>
  </si>
  <si>
    <t>Interest</t>
  </si>
  <si>
    <t>WAY2SAVE SAVINGS (...8781)</t>
  </si>
  <si>
    <t>INTEREST PAYMENT</t>
  </si>
  <si>
    <t>Interest Paid</t>
  </si>
  <si>
    <t>AMEX EPAYMENT ACH PMT 251231</t>
  </si>
  <si>
    <t>Paycheck</t>
  </si>
  <si>
    <t>EP2109 ATLANTI PAYROLL 251231~ Tran: A</t>
  </si>
  <si>
    <t>VENMO            PAYMENT    251230 1047279348504   LAURA HOLLAND</t>
  </si>
  <si>
    <t>VENMO            PAYMENT    251230 1047279353537   LAURA HOLLAND</t>
  </si>
  <si>
    <t>Shell</t>
  </si>
  <si>
    <t>PURCHASE                                AUTHORIZED ON   12/30 SHELL SERVICE STATION     TUCKER        GA  P465364825620343   CARD 6865</t>
  </si>
  <si>
    <t>PURCHASE                                AUTHORIZED ON   12/30 BP#8983496AM/PM           ATLANTA       GA  P000000187911192   CARD 6865</t>
  </si>
  <si>
    <t>Recurring Payment Livephish Plus</t>
  </si>
  <si>
    <t>RECURRING PAYMENT                       AUTHORIZED ON   12/29 LIVEPHISH PLUS            LIVEPHISH.COM CA  S355363601982800   CARD 6865</t>
  </si>
  <si>
    <t>VENMO            CASHOUT    251230 1047279341045   LAURA HOLLAND</t>
  </si>
  <si>
    <t>Spo Doccheys</t>
  </si>
  <si>
    <t>SPO*DOCCHEYS 0000026ATLANTA GA</t>
  </si>
  <si>
    <t>MOBILE PAYMENT - THANK YOU</t>
  </si>
  <si>
    <t>Te Certified</t>
  </si>
  <si>
    <t>IN *TE CERTIFIED ELEROSWELL GA</t>
  </si>
  <si>
    <t>Depositlink Depositlin Ilovop Id Morningside</t>
  </si>
  <si>
    <t>DepositLink      DepositLin              ILOVOP66V Id: 908410 - 761 E Morningside Dr NE</t>
  </si>
  <si>
    <t>PURCHASE                                AUTHORIZED ON   12/29 TARGET T-1390             Tucker        GA  P000000085311690   CARD 6865</t>
  </si>
  <si>
    <t>Coca Cola</t>
  </si>
  <si>
    <t>PURCHASE                                AUTHORIZED ON   12/28 COCA COLA SOUTH ME        ATLANTA       GA  S355362593702958   CARD 6865</t>
  </si>
  <si>
    <t>RECURRING PAYMENT                       AUTHORIZED ON   12/27 TARGET.COM  *             WWW.TARGET.CO MN  S355361465341458   CARD 6865</t>
  </si>
  <si>
    <t>RECURRING PAYMENT                       AUTHORIZED ON   12/26 Experian* Credit R        479-3436237   CA  S465360371115272   CARD 6865</t>
  </si>
  <si>
    <t>LOFTA SLEEP 8006988000 CA</t>
  </si>
  <si>
    <t>AplPay LOFTA SLEEP 8006988000 CA</t>
  </si>
  <si>
    <t>BT*DRIBBLEUP.CO*MEMBFRANKLIN SQUARE NY</t>
  </si>
  <si>
    <t>Deposit Mobile Banking</t>
  </si>
  <si>
    <t>Avalon Home</t>
  </si>
  <si>
    <t>AVALON HOME INSPECTIMCDONOUGH GA</t>
  </si>
  <si>
    <t>AMAZON DIGIT*2D09745888-802-3080 WA</t>
  </si>
  <si>
    <t>PURCHASE                                AUTHORIZED ON   12/25 Nintendo CA1529325        800-2553700   WA  S465359848856568   CARD 6865</t>
  </si>
  <si>
    <t>PURCHASE                                AUTHORIZED ON   12/25 Nintendo CA1529317        800-2553700   WA  S465359845620309   CARD 6865</t>
  </si>
  <si>
    <t>PURCHASE                                AUTHORIZED ON   12/25 Nintendo CA1528464        800-2553700   WA  S355359562748612   CARD 6865</t>
  </si>
  <si>
    <t>Sephora</t>
  </si>
  <si>
    <t>PURCHASE                                AUTHORIZED ON   12/24 CS *SEPHORA GC            866-286-1262  ME  S585359117668785   CARD 6865</t>
  </si>
  <si>
    <t>Barnes &amp; Noble</t>
  </si>
  <si>
    <t>PURCHASE                                AUTHORIZED ON   12/24 BARNES&amp;NOBLE PAPER        800-843-2665  NY  S585359116138138   CARD 6865</t>
  </si>
  <si>
    <t>Tin Can Tincan</t>
  </si>
  <si>
    <t>PURCHASE                                AUTHORIZED ON   12/24 SP TIN CAN                TINCAN.KIDS   WA  S585359108992819   CARD 6865</t>
  </si>
  <si>
    <t>PURCHASE                                AUTHORIZED ON   12/24 Nintendo CA1526782        800-2553700   WA  S585358435006745   CARD 6865</t>
  </si>
  <si>
    <t>RECURRING PAYMENT                       AUTHORIZED ON   12/23 Spotify P3DBB8931E        New York      NY  S385358265795031   CARD 6865</t>
  </si>
  <si>
    <t>Savi Highland</t>
  </si>
  <si>
    <t>SAVI HIGHLAND 00-080ATLANTA GA</t>
  </si>
  <si>
    <t>Barrel Town Wine</t>
  </si>
  <si>
    <t>BARREL TOWN WINE &amp; SATLANTA GA</t>
  </si>
  <si>
    <t>ATT              PAYMENT    122325 333941003EPAYB  LAURA HOLLAND SCLAFANI</t>
  </si>
  <si>
    <t>ZELLE TO ALL SOUTH PEST CONTROL LLC ON 12/24 REF # WFCT0ZMLP5SH INSPECTION</t>
  </si>
  <si>
    <t>PURCHASE                                AUTHORIZED ON   12/23 Nintendo CA1525843        800-2553700   WA  S345357482904799   CARD 6865</t>
  </si>
  <si>
    <t>PURCHASE                                AUTHORIZED ON   12/23 Nintendo CA1525839        800-2553700   WA  S385357481004000   CARD 6865</t>
  </si>
  <si>
    <t>PURCHASE                                AUTHORIZED ON   12/23 Nintendo COPPA            800-2553700   WA  S305357473229171   CARD 6865</t>
  </si>
  <si>
    <t>Neiman Marcus</t>
  </si>
  <si>
    <t>NEIMAN MARCUS 006 Atlanta</t>
  </si>
  <si>
    <t>AplPay TARGET.COM BROOKLYN PARK MN</t>
  </si>
  <si>
    <t>Caf Direct Check Auto Lease Sclafani Laura</t>
  </si>
  <si>
    <t>CAF DIRECT CHECK AUTO LEASE        0013771370      SCLAFANI, LAURA H</t>
  </si>
  <si>
    <t>RaceTrac</t>
  </si>
  <si>
    <t>RACETRAC PETROLEUM TUCKER GA</t>
  </si>
  <si>
    <t>Brightwheel</t>
  </si>
  <si>
    <t>BRGHTWHL*...     BRGHTWHL*.        ST-Q3P0U4X5N4L4 LAURA SCLAFANI</t>
  </si>
  <si>
    <t>PURCHASE                                AUTHORIZED ON   12/22 TARGET.COM                BROOKLYN PARK MN  P000000180803882   CARD 6865</t>
  </si>
  <si>
    <t>PURCHASE                                AUTHORIZED ON   12/21 CVS/PHARMACY #05 05731--3 Atlanta       GA  P385355631307862   CARD 6865</t>
  </si>
  <si>
    <t>Holiday Photo</t>
  </si>
  <si>
    <t>PURCHASE                                AUTHORIZED ON   12/21 0061 HOLIDAY PHOTO        ATLANTA       GA  S585355618977796   CARD 6865</t>
  </si>
  <si>
    <t>PURCHASE                                AUTHORIZED ON   12/20 PUBLIX SUPER MAR 572 HANK ATLANTA       GA  P465354737450593   CARD 6865</t>
  </si>
  <si>
    <t>RECURRING PAYMENT                       AUTHORIZED ON   12/19 APPLE.COM/BILL            866-712-7753  CA  S345354214507669   CARD 6865</t>
  </si>
  <si>
    <t>Maelu Designs</t>
  </si>
  <si>
    <t>SP MAELU DESIGNS PORTLAND OR</t>
  </si>
  <si>
    <t>Chevron</t>
  </si>
  <si>
    <t>CHEVRON 0203338/CHEVATLANTA GA</t>
  </si>
  <si>
    <t>TACO BELL ATLANTA GA</t>
  </si>
  <si>
    <t>QT ATLANTA GA</t>
  </si>
  <si>
    <t>AMERICAN EXPRESS ACH PMT    251219 W1760           LAURA SCLAFANI</t>
  </si>
  <si>
    <t>016180 EVOLVE FA DIRDEP     251219      9          SELAFANI, LAURA H</t>
  </si>
  <si>
    <t>Target of Edgewood</t>
  </si>
  <si>
    <t>TARGET OF EDGEWOOD ATLANTA GA</t>
  </si>
  <si>
    <t>Powers Ferry Psy Fer Laura Sclafani</t>
  </si>
  <si>
    <t>POWERS FERRY PSY POWERS FER 121725                 laura SClafani</t>
  </si>
  <si>
    <t>Patientco Inc Web Psyvkr Laura Sclafani</t>
  </si>
  <si>
    <t>Patientco Inc    WEB PMTS   121825 PSYVKR          Laura Sclafani</t>
  </si>
  <si>
    <t>PREFERRED SCHOOL PURCHASE   251218       XXXXX8126 Laura Sclafani</t>
  </si>
  <si>
    <t>Lowe's</t>
  </si>
  <si>
    <t>LOWE'S OF ATLANTA-EDATLANTA GA</t>
  </si>
  <si>
    <t>Bass Pro Shops</t>
  </si>
  <si>
    <t>BASS PRO ONLINE U.S.SPRINGFIELD MO</t>
  </si>
  <si>
    <t>Promethease.com</t>
  </si>
  <si>
    <t>PROMETHEASE.COM DNA POTOMAC MD</t>
  </si>
  <si>
    <t>UPS</t>
  </si>
  <si>
    <t>Postage &amp; Shipping</t>
  </si>
  <si>
    <t>THE UPS STORE 6903 ATLANTA GA</t>
  </si>
  <si>
    <t>Yoast B</t>
  </si>
  <si>
    <t>YOAST B.V. WIJCHEN NL</t>
  </si>
  <si>
    <t>RECURRING PAYMENT                       AUTHORIZED ON   12/14 CCI*CARE.COM              737-2023114   MA  S355349201920631   CARD 6865</t>
  </si>
  <si>
    <t>Holiday Photos</t>
  </si>
  <si>
    <t>HOLIDAY PHOTOS Marlton NJ</t>
  </si>
  <si>
    <t>Bank Int 111625 121525 Schwab Bank</t>
  </si>
  <si>
    <t>BANK INT 111625-121525 SCHWAB BANK</t>
  </si>
  <si>
    <t>Wendy</t>
  </si>
  <si>
    <t>PURCHASE                                AUTHORIZED ON   12/13 WENDY'S #5461             NEWNAN        GA  S345347851143606   CARD 6865</t>
  </si>
  <si>
    <t>RECURRING PAYMENT                       AUTHORIZED ON   12/12 SACRED THREAD YOGA        404-8447243   GA  S585347224073910   CARD 6865</t>
  </si>
  <si>
    <t>RECURRING PAYMENT                       AUTHORIZED ON   12/12 APPLE.COM/BILL            866-712-7753  CA  S385346727083906   CARD 6865</t>
  </si>
  <si>
    <t>PURCHASE                                AUTHORIZED ON   12/12 TARGET.COM                BROOKLYN PARK MN  P000000187702566   CARD 6865</t>
  </si>
  <si>
    <t>016180 EVOLVE FA DIRDEP     251215      9          SELAFANI, LAURA H</t>
  </si>
  <si>
    <t>CHEVRON 0201793/CHEVATLANTA GA</t>
  </si>
  <si>
    <t>Texaco</t>
  </si>
  <si>
    <t>TEXACO 0351940/CHEVRNEWNAN GA</t>
  </si>
  <si>
    <t>TACO BELL 039948 039LAGRANGE GA</t>
  </si>
  <si>
    <t>RACETRAC 500 500 LAGRANGE GA</t>
  </si>
  <si>
    <t>Great Wolf Lodge</t>
  </si>
  <si>
    <t>Travel &amp; Vacation</t>
  </si>
  <si>
    <t>GREAT WOLF LDG LAGRALAGRANGE GA</t>
  </si>
  <si>
    <t>GWL LAGRANGE LAGRANGE GA</t>
  </si>
  <si>
    <t>AplPay GWL LAGRANGE LAGRANGE GA</t>
  </si>
  <si>
    <t>AplPay GREAT WOLF LOLAGRANGE GA</t>
  </si>
  <si>
    <t>ACE Parking</t>
  </si>
  <si>
    <t>ACE PARKING 4575 457LAGRANGE GA</t>
  </si>
  <si>
    <t>Whole Foods</t>
  </si>
  <si>
    <t>WHOLEFDS NBC#10697 0ATLANTA GA</t>
  </si>
  <si>
    <t>QT NEWNAN GA</t>
  </si>
  <si>
    <t>AplPay WHOLEFDS NBC#ATLANTA GA</t>
  </si>
  <si>
    <t>AplPay QT NEWNAN GA</t>
  </si>
  <si>
    <t>CANVA* I04728-559152CAMDEN DE</t>
  </si>
  <si>
    <t>Sheps Grant Park</t>
  </si>
  <si>
    <t>SHEPS GRANT PARK ACEATLANTA GA</t>
  </si>
  <si>
    <t>AMAZON PRIME*O15U31PAMZN.COM/BILL WA</t>
  </si>
  <si>
    <t>Overdraft Transfer</t>
  </si>
  <si>
    <t>Overdraft Transfer from Brokerage -4754</t>
  </si>
  <si>
    <t>Overdraft to Investor Checking 3915</t>
  </si>
  <si>
    <t>OVERDRAFT TO INVESTOR CHECKING 3915</t>
  </si>
  <si>
    <t>PREFERRED SCHOOL PURCHASE   251211       XXXXX1720 Laura Sclafani</t>
  </si>
  <si>
    <t>AplPay LOWE'S OF ATLATLANTA GA</t>
  </si>
  <si>
    <t>TARGET OF EDGATLANTA GA</t>
  </si>
  <si>
    <t>AplPay TARGET OF EDGATLANTA GA</t>
  </si>
  <si>
    <t>Interest Charge</t>
  </si>
  <si>
    <t>Interest Charge on Purchases</t>
  </si>
  <si>
    <t>PURCHASE                                AUTHORIZED ON   12/10 TARGET.COM                BROOKLYN PARK MN  P000000682572962   CARD 6865</t>
  </si>
  <si>
    <t>Native Mane Sal</t>
  </si>
  <si>
    <t>NATIVE MANE SALON ATLANTA GA</t>
  </si>
  <si>
    <t>PURCHASE                                AUTHORIZED ON   12/08 CVS/PHARMACY #0733        ATLANTA       GA  S355342827164923   CARD 6865</t>
  </si>
  <si>
    <t>Bakeries</t>
  </si>
  <si>
    <t>PURCHASE                                AUTHORIZED ON   12/08 SP DEWEYS BAKERY          DEWEYS.COM    NC  S465342483425024   CARD 6865</t>
  </si>
  <si>
    <t>SPROUTS FARMERS MARKTUCKER GA</t>
  </si>
  <si>
    <t>PURCHASE                                AUTHORIZED ON   12/04 TARGET.COM                BROOKLYN PARK MN  P000000581831933   CARD 6865</t>
  </si>
  <si>
    <t>Old Navy</t>
  </si>
  <si>
    <t>PURCHASE                                AUTHORIZED ON   12/03 OLD NAVY ON-LINE          800-6536289   OH  S465337430918485   CARD 6865</t>
  </si>
  <si>
    <t>Tory Burch</t>
  </si>
  <si>
    <t>PURCHASE                                AUTHORIZED ON   11/29 Tory Burch LLC            866-4808679   NY  S465334057325257   CARD 6865</t>
  </si>
  <si>
    <t>Minted</t>
  </si>
  <si>
    <t>MINTED LLC SAN FRANCISCO CA</t>
  </si>
  <si>
    <t>AMAZON DIGIT*BI4HF0B888-802-3080 WA</t>
  </si>
  <si>
    <t>WWW.CVS.COM 00009269WOONSOCKET RI</t>
  </si>
  <si>
    <t>Callaway Resort Tesspine</t>
  </si>
  <si>
    <t>CALLAWAY RESORT TESSPINE MOUNTAIN GA</t>
  </si>
  <si>
    <t>Madewell</t>
  </si>
  <si>
    <t>MADEWELL.COM LYNCHBURG VA</t>
  </si>
  <si>
    <t>CowetaFayetteEMC PAYMENT    251204 990000245101338 Laura H Sclafani</t>
  </si>
  <si>
    <t>PURCHASE                                AUTHORIZED ON   12/03 CHICK-FIL-A #02799        TUCKER        GA  S345337606295919   CARD 6865</t>
  </si>
  <si>
    <t>016180 EVOLVE FA DIRDEP     251205      9          SELAFANI, LAURA H</t>
  </si>
  <si>
    <t>CITGO</t>
  </si>
  <si>
    <t>CITGO OIL CO 479-928-7135 OK</t>
  </si>
  <si>
    <t>PREFERRED SCHOOL PURCHASE   251204       XXXXX6380 Laura Sclafani</t>
  </si>
  <si>
    <t>RECURRING PAYMENT                       AUTHORIZED ON   12/03 CAROLINECHAMBERS.C        CAROLINECHAMB CA  S385338146194978   CARD 6865</t>
  </si>
  <si>
    <t>RECURRING PAYMENT                       AUTHORIZED ON   12/02 APPLE.COM/BILL            866-712-7753  CA  S305337231883393   CARD 6865</t>
  </si>
  <si>
    <t>Cash Back Rewards</t>
  </si>
  <si>
    <t>NSM DBAMR.COOPER NSM DBAMR  251202 0358473         LAURA *SCLAFANI</t>
  </si>
  <si>
    <t>RECURRING PAYMENT                       AUTHORIZED ON   12/02 GOBRANDS INC. - FA        855-400-7833  PA  S585336642792334   CARD 6865</t>
  </si>
  <si>
    <t>AMEX EPAYMENT ACH PMT 251203</t>
  </si>
  <si>
    <t>Capital One</t>
  </si>
  <si>
    <t>CAPITAL ONE ONLINE PMT</t>
  </si>
  <si>
    <t>Faherty</t>
  </si>
  <si>
    <t>PURCHASE                                AUTHORIZED ON   12/01 SP FAHERTY                FAHERTYBRAND. NY  S465335837654048   CARD 6865</t>
  </si>
  <si>
    <t>Quince</t>
  </si>
  <si>
    <t>PURCHASE                                AUTHORIZED ON   12/01 ONEQUINCE* Q158786        QUINCE.COM    CA  S345335544481004   CARD 6865</t>
  </si>
  <si>
    <t>Naturalizer</t>
  </si>
  <si>
    <t>PURCHASE                                AUTHORIZED ON   11/29 NATURALIZER               888-294-1648  MO  S465334066332613   CARD 6865</t>
  </si>
  <si>
    <t>CAPITAL ONE ONLINE PYMT</t>
  </si>
  <si>
    <t>TJ Maxx</t>
  </si>
  <si>
    <t>899 T.J.MAXX ONLINE FRAMINGHAM MA</t>
  </si>
  <si>
    <t>AMERICAN EXPRESS ACH PMT    251201 W7922           LAURA SCLAFANI</t>
  </si>
  <si>
    <t>VENMO            PAYMENT    251201 1046604848741   LAURA HOLLAND</t>
  </si>
  <si>
    <t>ADVS ED SERV PPD STUDNTLOAN 251128 0000            HOLLAND</t>
  </si>
  <si>
    <t>Hills</t>
  </si>
  <si>
    <t>PURCHASE                                AUTHORIZED ON   11/29 HILLS                     LAVONIA       GA  P000000983313796   CARD 6865</t>
  </si>
  <si>
    <t>PURCHASE                                AUTHORIZED ON   11/29 HILLS                     LAVONIA       GA  P000000281326502   CARD 6865</t>
  </si>
  <si>
    <t>Greenville</t>
  </si>
  <si>
    <t>PURCHASE                                AUTHORIZED ON   11/29 QT 1149                   GREENVILLE    SC  S385333741284552   CARD 6865</t>
  </si>
  <si>
    <t>PURCHASE                                AUTHORIZED ON   11/29 QT 1149 OUTSIDE           GREENVILLE    SC  P585333736527611   CARD 6865</t>
  </si>
  <si>
    <t>Chipotle</t>
  </si>
  <si>
    <t>PURCHASE                                AUTHORIZED ON   11/29 CHIPOTLE 2183             HUNTERSVILLE  NC  S345333665175185   CARD 6865</t>
  </si>
  <si>
    <t>Christmas Tree</t>
  </si>
  <si>
    <t>PURCHASE                                AUTHORIZED ON   11/29 SQ *CHRISTMAS TREE        Davidson      NC  S385333648813366   CARD 6865</t>
  </si>
  <si>
    <t>Inside</t>
  </si>
  <si>
    <t>PURCHASE                                AUTHORIZED ON   11/29 QT 1083 INSIDE            HUNTERSVILLE  NC  S305333639616918   CARD 6865</t>
  </si>
  <si>
    <t>RECURRING PAYMENT                       AUTHORIZED ON   11/29 LIVEPHISH PLUS            LIVEPHISH.COM CA  S345333602170527   CARD 6865</t>
  </si>
  <si>
    <t>Dixie Decoys</t>
  </si>
  <si>
    <t>PURCHASE                                AUTHORIZED ON   11/28 SP DIXIE DECOYS           DECOYAPPARELC NC  S585332750645206   CARD 6865</t>
  </si>
  <si>
    <t>VENMO            CASHOUT    251201 1046604863657   LAURA HOLLAND</t>
  </si>
  <si>
    <t>016180 EVOLVE FA DIRDEP     251201      9          SELAFANI, LAURA H</t>
  </si>
  <si>
    <t>Midway Pub</t>
  </si>
  <si>
    <t>TST* MIDWAY PUB 3005ATLANTA GA</t>
  </si>
  <si>
    <t>GOOGLE *GSUITE_JRSTICC@GOOGLE.COM CA</t>
  </si>
  <si>
    <t>EVANS AIR CONDITIONIMCDONOUGH GA</t>
  </si>
  <si>
    <t>Lumin Bavs Weqrd Auckland</t>
  </si>
  <si>
    <t>LUMIN PDF J2BAVS6WEQRD AUCKLAND</t>
  </si>
  <si>
    <t>goPuff</t>
  </si>
  <si>
    <t>BT*GOPUFF PHILADELPHIA PA</t>
  </si>
  <si>
    <t>PRIME VIDEO *BB4UX4O888-802-3080 WA</t>
  </si>
  <si>
    <t>Oh Calcutta Winston</t>
  </si>
  <si>
    <t>TST* OH CALCUTTA 001WINSTON-SALEM NC</t>
  </si>
  <si>
    <t>PURCHASE                                AUTHORIZED ON   11/27 CVS/PHARMACY #0703        WINSTON-SALEM NC  S465331588327572   CARD 6865</t>
  </si>
  <si>
    <t>RECURRING PAYMENT                       AUTHORIZED ON   11/27 TARGET.COM  *             WWW.TARGET.CO MN  S585331443240580   CARD 6865</t>
  </si>
  <si>
    <t>Arby's</t>
  </si>
  <si>
    <t>PURCHASE                                AUTHORIZED ON   11/26 ARBYS 9060                LAVONIA       GA  S585330607183861   CARD 6865</t>
  </si>
  <si>
    <t>PURCHASE                                AUTHORIZED ON   11/26 SHELL OIL 57529702        ATLANTA       GA  S345330551845493   CARD 6865</t>
  </si>
  <si>
    <t>PURCHASE                                AUTHORIZED ON   11/26 SHELL OIL 57529702        ATLANTA       GA  S385330554561340   CARD 6865</t>
  </si>
  <si>
    <t>RECURRING PAYMENT                       AUTHORIZED ON   11/26 Experian* Credit R        479-3436237   CA  S585330371685581   CARD 6865</t>
  </si>
  <si>
    <t>ExxonMobil</t>
  </si>
  <si>
    <t>EXXONMOBIL WINSTON SALEM NC</t>
  </si>
  <si>
    <t>ATM Fee Rebate</t>
  </si>
  <si>
    <t>Ep Atlanti Payroll Tran</t>
  </si>
  <si>
    <t>EP2109 ATLANTI PAYROLL 251130~ Tran: A</t>
  </si>
  <si>
    <t>Lowes Foods</t>
  </si>
  <si>
    <t>LOWES FOODS CLEMMONS NC</t>
  </si>
  <si>
    <t>Country Club Rdwinston</t>
  </si>
  <si>
    <t>4995 COUNTRY CLUB RDWINSTON SALEM NC</t>
  </si>
  <si>
    <t>AMAZON DIGIT*B27ST9Y888-802-3080 WA</t>
  </si>
  <si>
    <t>Vivachicken Winston</t>
  </si>
  <si>
    <t>VIVACHICKEN WINSTON SALEM NC</t>
  </si>
  <si>
    <t>At Peacht</t>
  </si>
  <si>
    <t>PURCHASE                                AUTHORIZED ON   11/25 AT043 - 521 PEACHT        ATLANTA       GA  S465329502628712   CARD 6865</t>
  </si>
  <si>
    <t>PUBLIX #1475 0000014WINSTON SALEM NC</t>
  </si>
  <si>
    <t>Walmart</t>
  </si>
  <si>
    <t>WAL-MART SUPERCENTERGASTONIA NC</t>
  </si>
  <si>
    <t>Transfer Funds From Schwab Bank   ...915</t>
  </si>
  <si>
    <t>RECURRING PAYMENT                       AUTHORIZED ON   11/23 Spotify P3CB719AF2        New York      NY  S385328265794425   CARD 6865</t>
  </si>
  <si>
    <t>ATT              PAYMENT    112225 322357001EPAYW  LAURA HOLLAND SCLAFANI</t>
  </si>
  <si>
    <t>BRGHTWHL*...     BRGHTWHL*.        ST-I0E2U5K2P7L6 LAURA SCLAFANI</t>
  </si>
  <si>
    <t>PURCHASE                                AUTHORIZED ON   11/24 CVS/PHARMACY #07 07336--5 ATLANTA       GA  P385328849679014   CARD 6865</t>
  </si>
  <si>
    <t>BIG SOFTIE Atlanta GA</t>
  </si>
  <si>
    <t>Brick Getbrick</t>
  </si>
  <si>
    <t>PURCHASE                                AUTHORIZED ON   11/20 SP BRICK LLC              GETBRICK.APP  WI  S585325126542594   CARD 6865</t>
  </si>
  <si>
    <t>RECURRING PAYMENT                       AUTHORIZED ON   11/19 APPLE.COM/BILL            866-712-7753  CA  S305324214855140   CARD 6865</t>
  </si>
  <si>
    <t>016180 EVOLVE FA DIRDEP     251121      9          SELAFANI, LAURA H</t>
  </si>
  <si>
    <t>AT043 - 521 PEACHTREE S parkmobilecom</t>
  </si>
  <si>
    <t>Southern</t>
  </si>
  <si>
    <t>TST* SOUTHERN NATIONATLANTA GA</t>
  </si>
  <si>
    <t>VRBO</t>
  </si>
  <si>
    <t>VRBO HAXYV337 512-759-0902 TX</t>
  </si>
  <si>
    <t>BP#1633171MEMORIAL DDECATUR GA</t>
  </si>
  <si>
    <t>VENMO            PAYMENT    251120 1046333582893   LAURA HOLLAND</t>
  </si>
  <si>
    <t>PREFERRED SCHOOL PURCHASE   251120       XXXXX3250 Laura Sclafani</t>
  </si>
  <si>
    <t>VENMO            CASHOUT    251120 XXXXXXXXXXXXX   LAURA HOLLAND</t>
  </si>
  <si>
    <t>Chase Georgia Ave Se Atlanta</t>
  </si>
  <si>
    <t>CHASE 9 GEORGIA AVE SE Atlanta</t>
  </si>
  <si>
    <t>Pollo Primo</t>
  </si>
  <si>
    <t>PURCHASE                                AUTHORIZED ON   11/18 TST*POLLO PRIMO           Atlanta       GA  S465322852490895   CARD 6865</t>
  </si>
  <si>
    <t>Georgia Tech Athleti</t>
  </si>
  <si>
    <t>GEORGIA TECH ATHLETI404--894-5447 GA</t>
  </si>
  <si>
    <t>Internet &amp; Cable</t>
  </si>
  <si>
    <t>Fit Dancebit South</t>
  </si>
  <si>
    <t>FIT-DANCEBIT SOUTH SAN FRANCISCO CA</t>
  </si>
  <si>
    <t>VENMO            PAYMENT    251116 1046237163779   LAURA HOLLAND</t>
  </si>
  <si>
    <t>Shady Creek Ex</t>
  </si>
  <si>
    <t>PURCHASE                                AUTHORIZED ON   11/16 SQ *SHADY CREEK EX        Clayton       GA  S345320706282767   CARD 6865</t>
  </si>
  <si>
    <t>Wander</t>
  </si>
  <si>
    <t>PURCHASE                                AUTHORIZED ON   11/16 SP WANDER NORTH GA        177-07504470  GA  S385320697068906   CARD 6865</t>
  </si>
  <si>
    <t>PURCHASE                                AUTHORIZED ON   11/16 SP WANDER NORTH GA        177-07504470  GA  S345320692074000   CARD 6865</t>
  </si>
  <si>
    <t>RECURRING PAYMENT                       AUTHORIZED ON   11/14 CCI*CARE.COM              737-2023114   MA  S465319202478962   CARD 6865</t>
  </si>
  <si>
    <t>PURCHASE                                AUTHORIZED ON   11/14 SQ *BIG SOFTIE            Atlanta       GA  S465318710392248   CARD 6865</t>
  </si>
  <si>
    <t>The Home Depot</t>
  </si>
  <si>
    <t>THE HOME DEPOT ATLANTA GA</t>
  </si>
  <si>
    <t>Best Buy</t>
  </si>
  <si>
    <t>BEST BUY ATLANTA GA</t>
  </si>
  <si>
    <t>Bank Int 101625 111525 Schwab Bank</t>
  </si>
  <si>
    <t>BANK INT 101625-111525 SCHWAB BANK</t>
  </si>
  <si>
    <t>AMEX EPAYMENT ACH PMT 251117</t>
  </si>
  <si>
    <t>Etsy</t>
  </si>
  <si>
    <t>ETSY, INC. BROOKLYN NY</t>
  </si>
  <si>
    <t>QT 1710 INSIDE/QUIKTGAINESVILLE GA</t>
  </si>
  <si>
    <t>S Chestatee</t>
  </si>
  <si>
    <t>5585 S CHESTATEE 100DAHLONEGA GA</t>
  </si>
  <si>
    <t>PURCHASE                                AUTHORIZED ON   11/14 SHELL SERVICE STATION     DAHLONEGA     GA  P385318793570074   CARD 6865</t>
  </si>
  <si>
    <t>PURCHASE                                AUTHORIZED ON   11/13 SACRED THREAD YOGA        404-8447243   GA  S355317593996957   CARD 6865</t>
  </si>
  <si>
    <t>Midtown Butcher</t>
  </si>
  <si>
    <t>TST*MIDTOWN BUTCHER SH</t>
  </si>
  <si>
    <t>PUBLIX #536</t>
  </si>
  <si>
    <t>Legacy</t>
  </si>
  <si>
    <t>Rent</t>
  </si>
  <si>
    <t>LegacyXXXXXXXXXXXOF 00</t>
  </si>
  <si>
    <t>TARGET 013904TUCKER GA</t>
  </si>
  <si>
    <t>PREFERRED SCHOOL PURCHASE   251113       XXXXX6882 Laura Sclafani</t>
  </si>
  <si>
    <t>RECURRING PAYMENT                       AUTHORIZED ON   11/12 APPLE.COM/BILL            866-712-7753  CA  S585316727030032   CARD 6865</t>
  </si>
  <si>
    <t>PURCHASE                                AUTHORIZED ON   11/12 TARGET.COM                BROOKLYN PARK MN  P000000080228040   CARD 6865</t>
  </si>
  <si>
    <t>Primary</t>
  </si>
  <si>
    <t>PURCHASE                                AUTHORIZED ON   11/12 SP PRIMARY.COM            PRIMARY.COM   NY  S355316479909565   CARD 6865</t>
  </si>
  <si>
    <t>Rifle Paper Co.</t>
  </si>
  <si>
    <t>PURCHASE                                AUTHORIZED ON   11/12 SP RIFLE PAPER CO         RIFLEPAPERCO. FL  S585316477214721   CARD 6865</t>
  </si>
  <si>
    <t>Friends Tek</t>
  </si>
  <si>
    <t>Office Supplies &amp; Expenses</t>
  </si>
  <si>
    <t>FRIENDS TEK LLC</t>
  </si>
  <si>
    <t>PURCHASE                                AUTHORIZED ON   11/12 TARGET.COM                BROOKLYN PARK MN  P000000186583425   CARD 6865</t>
  </si>
  <si>
    <t>PURCHASE                                AUTHORIZED ON   11/11 TARGET.COM                BROOKLYN PARK MN  P000000981462262   CARD 6865</t>
  </si>
  <si>
    <t>PURCHASE                                AUTHORIZED ON   11/10 TARGET.COM                BROOKLYN PARK MN  P000000984913077   CARD 6865</t>
  </si>
  <si>
    <t>AMAZON PRIME*B85FB0PAMZN.COM/BILL WA</t>
  </si>
  <si>
    <t>PURCHASE                                AUTHORIZED ON   11/09 TARGET.COM                BROOKLYN PARK MN  P000000386285195   CARD 6865</t>
  </si>
  <si>
    <t>PURCHASE                                AUTHORIZED ON   11/09 TARGET PLUS               BROOKLYN PARK MN  P000000785119698   CARD 6865</t>
  </si>
  <si>
    <t>PURCHASE                                AUTHORIZED ON   11/09 TARGET.COM                BROOKLYN PARK MN  P000000789884975   CARD 6865</t>
  </si>
  <si>
    <t>Babybub Materni</t>
  </si>
  <si>
    <t>PURCHASE                                AUTHORIZED ON   11/08 SP BABYBUB MATERNI        BABYBUB.COM   DE  S585312641357201   CARD 6865</t>
  </si>
  <si>
    <t>PURCHASE                                AUTHORIZED ON   11/07 AT043 - 521 PEACHT        ATLANTA       GA  S355311521332329   CARD 6865</t>
  </si>
  <si>
    <t>CHIPOTLE 1717 1717 ATLANTA GA</t>
  </si>
  <si>
    <t>VENMO CASHOUT 251108</t>
  </si>
  <si>
    <t>Renewal Membership Fee</t>
  </si>
  <si>
    <t>RENEWAL MEMBERSHIP FEE</t>
  </si>
  <si>
    <t>Delta Airlines</t>
  </si>
  <si>
    <t>DELTA AIR LINES ATLANTA</t>
  </si>
  <si>
    <t>BASS PRO SHOPS LAWRENCEVILLE GA</t>
  </si>
  <si>
    <t>Dentist</t>
  </si>
  <si>
    <t>PRIME VIDEO *BT5E845888-802-3080 WA</t>
  </si>
  <si>
    <t>AM PM Stores</t>
  </si>
  <si>
    <t>Hilltop Kennels</t>
  </si>
  <si>
    <t>IN *HILLTOP KENNELS</t>
  </si>
  <si>
    <t>AMAZON DIGIT*BT7TO61888-802-3080 WA</t>
  </si>
  <si>
    <t>PURCHASE                                AUTHORIZED ON   11/06 SQ *BIG SOFTIE            Atlanta       GA  S355311046012635   CARD 6865</t>
  </si>
  <si>
    <t>016180 EVOLVE FA DIRDEP     251107      9          SELAFANI, LAURA H</t>
  </si>
  <si>
    <t>Talat Market</t>
  </si>
  <si>
    <t>TST* TALAT MARKET 00ATLANTA GA</t>
  </si>
  <si>
    <t>PREFERRED SCHOOL PURCHASE   251106       XXXXX0623 Laura Sclafani</t>
  </si>
  <si>
    <t>Minero Atl</t>
  </si>
  <si>
    <t>TST* MINERO - ATL 00ATLANTA GA</t>
  </si>
  <si>
    <t>Mister Car Wash</t>
  </si>
  <si>
    <t>Mister Car Wash #025ATLANTA GA</t>
  </si>
  <si>
    <t>Scholastic</t>
  </si>
  <si>
    <t>Scholastic EducationJEFFERSONCITY MO</t>
  </si>
  <si>
    <t>AMERICAN EXPRESS ACH PMT    251105 W1360           LAURA SCLAFANI</t>
  </si>
  <si>
    <t>Gas &amp; Electric</t>
  </si>
  <si>
    <t>CowetaFayetteEMC PAYMENT    251104 990000245170619 Laura H Sclafani</t>
  </si>
  <si>
    <t>Late Fee</t>
  </si>
  <si>
    <t>LATE FEE</t>
  </si>
  <si>
    <t>NSM DBAMR.COOPER NSM DBAMR  251103 0054945         LAURA *SCLAFANI</t>
  </si>
  <si>
    <t>ADVS ED SERV PPD STUDNTLOAN 251103 0000            HOLLAND</t>
  </si>
  <si>
    <t>RECURRING PAYMENT                       AUTHORIZED ON   11/03 CAROLINECHAMBERS.C        CAROLINECHAMB CA  S465308119107770   CARD 6865</t>
  </si>
  <si>
    <t>RECURRING PAYMENT                       AUTHORIZED ON   11/02 APPLE.COM/BILL            866-712-7753  CA  S465307232117103   CARD 6865</t>
  </si>
  <si>
    <t>Rockin' Jump</t>
  </si>
  <si>
    <t>ROLLERUS*ROCKIN JUMPSMYRNA GA</t>
  </si>
  <si>
    <t>QT SMYRNA GA</t>
  </si>
  <si>
    <t>ROBINHOOD DEBITS</t>
  </si>
  <si>
    <t>Royal Trophies Royaltrop</t>
  </si>
  <si>
    <t>ROYAL TROPHIES WWW.ROYALTROP</t>
  </si>
  <si>
    <t>RECURRING PAYMENT                       AUTHORIZED ON   11/02 GOBRANDS INC. - FA        855-400-7833  PA  S345306638392984   CARD 6865</t>
  </si>
  <si>
    <t>PURCHASE                                AUTHORIZED ON   11/02 WAL-MART #0716            GREENWOOD     MS  P000000889636364   CARD 6865</t>
  </si>
  <si>
    <t>PURCHASE                                AUTHORIZED ON   11/02 TARGET.COM                BROOKLYN PARK MN  P000000080521961   CARD 6865</t>
  </si>
  <si>
    <t>PURCHASE                                AUTHORIZED ON   11/02 TARGET PLUS               BROOKLYN PARK MN  P000000385273981   CARD 6865</t>
  </si>
  <si>
    <t>PURCHASE                                AUTHORIZED ON   11/02 TARGET.COM                BROOKLYN PARK MN  P000000181853182   CARD 6865</t>
  </si>
  <si>
    <t>RECURRING PAYMENT                       AUTHORIZED ON   11/01 METRO ATLANTA YMCA        404-588-9622  GA  S305305666800510   CARD 6865</t>
  </si>
  <si>
    <t>PURCHASE                                AUTHORIZED ON   11/01 BP#8983496AM/PM           ATLANTA       GA  P000000052827771   CARD 6865</t>
  </si>
  <si>
    <t>Love's Travel Stops</t>
  </si>
  <si>
    <t>LOVE'S #0530 INSIDE/MOODY AL</t>
  </si>
  <si>
    <t>Jack's</t>
  </si>
  <si>
    <t>JACKS #350 350 GREENWOOD MS</t>
  </si>
  <si>
    <t>Dollar General</t>
  </si>
  <si>
    <t>DOLLAR GENERAL #2010TALLAPOOSA GA</t>
  </si>
  <si>
    <t>CHEVRON 0358571/CHEVOXFORD AL</t>
  </si>
  <si>
    <t>Tuscaloosa By-Pass</t>
  </si>
  <si>
    <t>TUSCALOOSA BY-PASS (TUSCALOOSA AL</t>
  </si>
  <si>
    <t>Inns &amp; Hotels</t>
  </si>
  <si>
    <t>THE ALLUVIAN HOTEL 0GREENWOOD MS</t>
  </si>
  <si>
    <t>Ez Contact</t>
  </si>
  <si>
    <t>EZ CONTACT 888-267-5367 NJ</t>
  </si>
  <si>
    <t>Giardinas</t>
  </si>
  <si>
    <t>TST* GIARDINAS RESTAGREENWOOD MS</t>
  </si>
  <si>
    <t>Milos</t>
  </si>
  <si>
    <t>MILOS - MOODY MOODY AL</t>
  </si>
  <si>
    <t>GOOGLE*GSUITE JRSTICCC GOOGLE.COM</t>
  </si>
  <si>
    <t>EXXONMOBIL WINONA MS</t>
  </si>
  <si>
    <t>CHICK-FIL-A #02111 0VILLA RICA GA</t>
  </si>
  <si>
    <t>INTEREST CHARGE:CASH ADVANCES</t>
  </si>
  <si>
    <t>Levi.com</t>
  </si>
  <si>
    <t>LEVI.COM SAN FRANCISCO CA</t>
  </si>
  <si>
    <t>PURCHASE                                AUTHORIZED ON   10/31 CVS/PHARMACY #07336       ATLANTA       GA  P000000483581973   CARD 6865</t>
  </si>
  <si>
    <t>PURCHASE                                AUTHORIZED ON   10/30 7062 GREAT CLIPS A        ATLANTA       GA  S305303812899706   CARD 6865</t>
  </si>
  <si>
    <t>EP2109 ATLANTI PAYROLL 251031~ Tran: A</t>
  </si>
  <si>
    <t>Deckers Brands</t>
  </si>
  <si>
    <t>DECKERS*UGG 888-432-8530 CA</t>
  </si>
  <si>
    <t>PREFERRED SCHOOL PURCHASE   251030       XXXXX4030 Laura Sclafani</t>
  </si>
  <si>
    <t>RECURRING PAYMENT                       AUTHORIZED ON   10/29 LIVEPHISH PLUS            LIVEPHISH.COM CA  S345302603255356   CARD 6865</t>
  </si>
  <si>
    <t>PURCHASE                                AUTHORIZED ON   10/28 METRO ATLANTA YMCA        404-588-9622  GA  S585301651987896   CARD 6865</t>
  </si>
  <si>
    <t>Garden &amp; Gun Club</t>
  </si>
  <si>
    <t>Garden &amp; Gun Club Atlanta GA</t>
  </si>
  <si>
    <t>Parker New York</t>
  </si>
  <si>
    <t>AplPay WARBY PARKER NEW YORK CITY NY</t>
  </si>
  <si>
    <t>📥 DATA IMPORT CENTER</t>
  </si>
  <si>
    <t>STEP 1: Export transactions from Monarch (CSV or copy from web)</t>
  </si>
  <si>
    <t>STEP 2: Paste into the YELLOW area below (starting row 15)</t>
  </si>
  <si>
    <t>STEP 3: Check the Import Summary (shows duplicates &amp; date range)</t>
  </si>
  <si>
    <t>STEP 4: If looks good, Copy rows from below → Paste into "Raw Data" sheet (append to bottom)</t>
  </si>
  <si>
    <t>STEP 5: Delete the data from this sheet (keep headers)</t>
  </si>
  <si>
    <t xml:space="preserve">    Column J (Type): Leave blank for personal, enter "Business" for pass-through transactions</t>
  </si>
  <si>
    <t>⚠️  DUPLICATE HANDLING: Column K flags potential duplicates already in Raw Data.</t>
  </si>
  <si>
    <t xml:space="preserve">    Review flagged rows before copying. Delete dupes from here, not Raw Data.</t>
  </si>
  <si>
    <t>IMPORT SUMMARY (Auto-calculated)</t>
  </si>
  <si>
    <t>Rows in staging:</t>
  </si>
  <si>
    <t>Date range:</t>
  </si>
  <si>
    <t>Potential duplicates:</t>
  </si>
  <si>
    <t>⬇️ PASTE MONARCH EXPORT BELOW THIS ROW ⬇️</t>
  </si>
  <si>
    <t>Dupe Check</t>
  </si>
  <si>
    <t>🛠️ UTILITY TOOLS</t>
  </si>
  <si>
    <t>TRANSACTION SPLIT HELPER</t>
  </si>
  <si>
    <t>Enter Raw Data row #:</t>
  </si>
  <si>
    <t>Original Transaction:</t>
  </si>
  <si>
    <t>Date:</t>
  </si>
  <si>
    <t>Merchant:</t>
  </si>
  <si>
    <t>Amount:</t>
  </si>
  <si>
    <t>Account:</t>
  </si>
  <si>
    <t>Split Rows (copy to Raw Data when done):</t>
  </si>
  <si>
    <t>SPLIT:</t>
  </si>
  <si>
    <t>Sum of splits:</t>
  </si>
  <si>
    <t>Original:</t>
  </si>
  <si>
    <t>Difference:</t>
  </si>
  <si>
    <t>RECEIPT ITEMIZATION LOG</t>
  </si>
  <si>
    <t>(Reference only - does not affect budget calculations)</t>
  </si>
  <si>
    <t>Store</t>
  </si>
  <si>
    <t>Qty</t>
  </si>
  <si>
    <t>Price</t>
  </si>
  <si>
    <t>📦 ARCHIVED DATA</t>
  </si>
  <si>
    <t>Historical reference - not actively used in model</t>
  </si>
  <si>
    <t>HOUSING TRANSITION (Completed Jan 2026)</t>
  </si>
  <si>
    <t>New Home: 761 E Morningside Dr NE</t>
  </si>
  <si>
    <t>Closing Date</t>
  </si>
  <si>
    <t>1/29/2026</t>
  </si>
  <si>
    <t>Sale Price</t>
  </si>
  <si>
    <t>Loan Amount</t>
  </si>
  <si>
    <t>Interest Rate</t>
  </si>
  <si>
    <t>5.5%</t>
  </si>
  <si>
    <t>Monthly P&amp;I</t>
  </si>
  <si>
    <t>Monthly Tax/Ins/HOA</t>
  </si>
  <si>
    <t>Old Home: 980 Rawlins St SE</t>
  </si>
  <si>
    <t>Expected Sale</t>
  </si>
  <si>
    <t>Est. Net Proceeds</t>
  </si>
  <si>
    <t>HOW TO USE THIS WORKBOOK</t>
  </si>
  <si>
    <t>📊 STRUCTURE (9 sheets)</t>
  </si>
  <si>
    <t xml:space="preserve">  Dashboard - All KPIs and strategic overview</t>
  </si>
  <si>
    <t xml:space="preserve">  Assumptions - Key inputs (blue = editable)</t>
  </si>
  <si>
    <t xml:space="preserve">  5-Year Pro Forma - Financial projections with scenarios</t>
  </si>
  <si>
    <t xml:space="preserve">  Budget vs Actual - Monthly tracking with deep-dives</t>
  </si>
  <si>
    <t xml:space="preserve">  Balance Sheet - Assets and liabilities</t>
  </si>
  <si>
    <t xml:space="preserve">  Config - Settings, dates, budgets, CapEx planning</t>
  </si>
  <si>
    <t xml:space="preserve">  Raw Data - Master transaction data</t>
  </si>
  <si>
    <t xml:space="preserve">  Import - Paste Monarch exports here</t>
  </si>
  <si>
    <t xml:space="preserve">  Tools - Split helper and receipt log</t>
  </si>
  <si>
    <t>📥 IMPORTING DATA</t>
  </si>
  <si>
    <t xml:space="preserve">  1. Export from Monarch → paste into Import sheet</t>
  </si>
  <si>
    <t xml:space="preserve">  2. Check column K for duplicates</t>
  </si>
  <si>
    <t xml:space="preserve">  3. Set Type="Business" for pass-through transactions</t>
  </si>
  <si>
    <t xml:space="preserve">  4. Copy clean rows → paste at bottom of Raw Data</t>
  </si>
  <si>
    <t>✂️ SPLITTING TRANSACTIONS</t>
  </si>
  <si>
    <t xml:space="preserve">  1. Go to Tools sheet</t>
  </si>
  <si>
    <t xml:space="preserve">  2. Enter Raw Data row number</t>
  </si>
  <si>
    <t xml:space="preserve">  3. Fill split amounts (must sum to original)</t>
  </si>
  <si>
    <t xml:space="preserve">  4. Copy split rows → paste at bottom of Raw Data</t>
  </si>
  <si>
    <t xml:space="preserve">  5. Set original Type="Split-Parent" in Raw Data</t>
  </si>
  <si>
    <t>⚙️ ADJUSTING ANALYSIS PERIOD</t>
  </si>
  <si>
    <t xml:space="preserve">  Go to Config sheet → change B6 (start) and B7 (end)</t>
  </si>
  <si>
    <t>💡 KEY PRINCIPLES</t>
  </si>
  <si>
    <t xml:space="preserve">  - All blue cells are inputs you can change</t>
  </si>
  <si>
    <t xml:space="preserve">  - Changes flow through entire model automatically</t>
  </si>
  <si>
    <t xml:space="preserve">  - Type column: blank=included, Business=excluded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</si>
</sst>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"/>
    <numFmt numFmtId="165" formatCode="0.0%"/>
    <numFmt numFmtId="166" formatCode="\$#,##0;&quot;($&quot;#,##0\);\-"/>
    <numFmt numFmtId="167" formatCode="\$#,##0.00;&quot;($&quot;#,##0.00\);\-"/>
    <numFmt numFmtId="168" formatCode="\$#,##0.00"/>
    <numFmt numFmtId="169" formatCode="yyyy\-mm\-dd"/>
    <numFmt numFmtId="170" formatCode="mm/dd/yy"/>
  </numFmts>
  <fonts count="24">
    <font>
      <sz val="11.0"/>
      <color theme="1"/>
      <name val="Calibri"/>
      <scheme val="minor"/>
    </font>
    <font>
      <b/>
      <sz val="14.0"/>
      <color theme="1"/>
      <name val="Cambria"/>
    </font>
    <font>
      <sz val="11.0"/>
      <color theme="1"/>
      <name val="Calibri"/>
    </font>
    <font>
      <b/>
      <sz val="11.0"/>
      <color theme="1"/>
      <name val="Cambria"/>
    </font>
    <font>
      <b/>
      <sz val="18.0"/>
      <color rgb="FF2F5496"/>
      <name val="Cambria"/>
    </font>
    <font>
      <i/>
      <sz val="11.0"/>
      <color rgb="FF0000FF"/>
      <name val="Cambria"/>
    </font>
    <font>
      <b/>
      <sz val="12.0"/>
      <color rgb="FF2F5496"/>
      <name val="Cambria"/>
    </font>
    <font>
      <b/>
      <sz val="11.0"/>
      <color rgb="FFFFFFFF"/>
      <name val="Cambria"/>
    </font>
    <font>
      <sz val="11.0"/>
      <color rgb="FF0000FF"/>
      <name val="Cambria"/>
    </font>
    <font>
      <i/>
      <sz val="11.0"/>
      <color rgb="FF666666"/>
      <name val="Cambria"/>
    </font>
    <font>
      <color theme="1"/>
      <name val="Calibri"/>
      <scheme val="minor"/>
    </font>
    <font>
      <sz val="11.0"/>
      <color rgb="FF0000FF"/>
      <name val="Calibri"/>
    </font>
    <font>
      <b/>
      <sz val="11.0"/>
      <color rgb="FF008000"/>
      <name val="Cambria"/>
    </font>
    <font>
      <b/>
      <sz val="14.0"/>
      <color rgb="FF2F5496"/>
      <name val="Cambria"/>
    </font>
    <font>
      <b/>
      <sz val="14.0"/>
      <color rgb="FF008000"/>
      <name val="Cambria"/>
    </font>
    <font>
      <b/>
      <sz val="12.0"/>
      <color theme="1"/>
      <name val="Cambria"/>
    </font>
    <font>
      <sz val="11.0"/>
      <color rgb="FF008000"/>
      <name val="Cambria"/>
    </font>
    <font>
      <b/>
      <sz val="12.0"/>
      <color rgb="FFCC0000"/>
      <name val="Cambria"/>
    </font>
    <font>
      <i/>
      <sz val="11.0"/>
      <color theme="1"/>
      <name val="Cambria"/>
    </font>
    <font>
      <sz val="9.0"/>
      <color theme="1"/>
      <name val="Cambria"/>
    </font>
    <font>
      <b/>
      <sz val="20.0"/>
      <color rgb="FF2F5496"/>
      <name val="Cambria"/>
    </font>
    <font>
      <b/>
      <sz val="11.0"/>
      <color rgb="FFFF6600"/>
      <name val="Cambria"/>
    </font>
    <font>
      <b/>
      <sz val="11.0"/>
      <color rgb="FFFF0000"/>
      <name val="Cambria"/>
    </font>
    <font>
      <b/>
      <sz val="14.0"/>
      <color rgb="FFFFFFFF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2F5496"/>
        <bgColor rgb="FF2F5496"/>
      </patternFill>
    </fill>
    <fill>
      <patternFill patternType="solid">
        <fgColor rgb="FFFF9900"/>
        <bgColor rgb="FFFF9900"/>
      </patternFill>
    </fill>
    <fill>
      <patternFill patternType="solid">
        <fgColor rgb="FFFF6600"/>
        <bgColor rgb="FFFF6600"/>
      </patternFill>
    </fill>
    <fill>
      <patternFill patternType="solid">
        <fgColor rgb="FFFFEB9C"/>
        <bgColor rgb="FFFFEB9C"/>
      </patternFill>
    </fill>
    <fill>
      <patternFill patternType="solid">
        <fgColor rgb="FFFFFF99"/>
        <bgColor rgb="FFFFFF9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bottom" wrapText="1"/>
    </xf>
    <xf borderId="0" fillId="0" fontId="8" numFmtId="166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3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readingOrder="0" shrinkToFit="0" vertical="bottom" wrapText="0"/>
    </xf>
    <xf borderId="0" fillId="0" fontId="8" numFmtId="166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166" xfId="0" applyFont="1" applyNumberFormat="1"/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1" numFmtId="9" xfId="0" applyAlignment="1" applyFont="1" applyNumberFormat="1">
      <alignment readingOrder="0" shrinkToFit="0" vertical="bottom" wrapText="0"/>
    </xf>
    <xf borderId="0" fillId="0" fontId="10" numFmtId="9" xfId="0" applyFont="1" applyNumberFormat="1"/>
    <xf borderId="0" fillId="0" fontId="10" numFmtId="0" xfId="0" applyFont="1"/>
    <xf borderId="0" fillId="0" fontId="12" numFmtId="166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6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shrinkToFit="0" vertical="bottom" wrapText="1"/>
    </xf>
    <xf borderId="0" fillId="0" fontId="16" numFmtId="167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19" numFmtId="170" xfId="0" applyAlignment="1" applyFont="1" applyNumberFormat="1">
      <alignment shrinkToFit="0" vertical="bottom" wrapText="0"/>
    </xf>
    <xf borderId="0" fillId="0" fontId="19" numFmtId="169" xfId="0" applyAlignment="1" applyFont="1" applyNumberForma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1" fillId="4" fontId="23" numFmtId="0" xfId="0" applyAlignment="1" applyBorder="1" applyFill="1" applyFon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4" width="15.0"/>
    <col customWidth="1" min="5" max="5" width="12.0"/>
    <col customWidth="1" min="6" max="26" width="8.71"/>
  </cols>
  <sheetData>
    <row r="1" ht="17.25" customHeight="1">
      <c r="A1" s="1" t="s">
        <v>0</v>
      </c>
    </row>
    <row r="2">
      <c r="A2" s="2"/>
      <c r="B2" s="2"/>
      <c r="C2" s="2"/>
      <c r="D2" s="2"/>
      <c r="E2" s="2"/>
    </row>
    <row r="3" ht="15.0" customHeight="1">
      <c r="A3" s="3" t="s">
        <v>1</v>
      </c>
      <c r="B3" s="2"/>
      <c r="C3" s="2"/>
      <c r="D3" s="2"/>
      <c r="E3" s="2"/>
    </row>
    <row r="4" ht="15.0" customHeight="1">
      <c r="A4" s="4" t="s">
        <v>2</v>
      </c>
      <c r="B4" s="4" t="s">
        <v>3</v>
      </c>
      <c r="C4" s="2"/>
      <c r="D4" s="2"/>
      <c r="E4" s="2"/>
    </row>
    <row r="5" ht="15.0" customHeight="1">
      <c r="A5" s="2" t="s">
        <v>4</v>
      </c>
      <c r="B5" s="5">
        <f>Assumptions!B16+Assumptions!B24</f>
        <v>262000</v>
      </c>
      <c r="C5" s="2"/>
      <c r="D5" s="2"/>
      <c r="E5" s="2"/>
    </row>
    <row r="6" ht="15.0" customHeight="1">
      <c r="A6" s="2" t="s">
        <v>5</v>
      </c>
      <c r="B6" s="5">
        <f>(Assumptions!B16*0.7)+(Assumptions!B24*0.75)</f>
        <v>186000</v>
      </c>
      <c r="C6" s="2"/>
      <c r="D6" s="2"/>
      <c r="E6" s="2"/>
    </row>
    <row r="7" ht="15.0" customHeight="1">
      <c r="A7" s="2" t="s">
        <v>6</v>
      </c>
      <c r="B7" s="5">
        <f>(Assumptions!B35+Assumptions!B36+Assumptions!B37+Assumptions!B38+Assumptions!B39+Assumptions!B40+Assumptions!B41)*12</f>
        <v>197088</v>
      </c>
      <c r="C7" s="2"/>
      <c r="D7" s="2"/>
      <c r="E7" s="2"/>
    </row>
    <row r="8" ht="15.0" customHeight="1">
      <c r="A8" s="2" t="s">
        <v>7</v>
      </c>
      <c r="B8" s="5">
        <f>B6-B7</f>
        <v>-11088</v>
      </c>
      <c r="C8" s="2"/>
      <c r="D8" s="2"/>
      <c r="E8" s="2"/>
    </row>
    <row r="9" ht="15.0" customHeight="1">
      <c r="A9" s="2" t="s">
        <v>8</v>
      </c>
      <c r="B9" s="5">
        <f>B8/12</f>
        <v>-924</v>
      </c>
      <c r="C9" s="2"/>
      <c r="D9" s="2"/>
      <c r="E9" s="2"/>
    </row>
    <row r="10" ht="15.0" customHeight="1">
      <c r="A10" s="2" t="s">
        <v>9</v>
      </c>
      <c r="B10" s="6">
        <f>B8/B6</f>
        <v>-0.05961290323</v>
      </c>
      <c r="C10" s="2"/>
      <c r="D10" s="2"/>
      <c r="E10" s="2"/>
    </row>
    <row r="11">
      <c r="A11" s="2"/>
      <c r="B11" s="2"/>
      <c r="C11" s="2"/>
      <c r="D11" s="2"/>
      <c r="E11" s="2"/>
    </row>
    <row r="12" ht="15.0" customHeight="1">
      <c r="A12" s="3" t="s">
        <v>10</v>
      </c>
      <c r="B12" s="2"/>
      <c r="C12" s="2"/>
      <c r="D12" s="2"/>
      <c r="E12" s="2"/>
    </row>
    <row r="13" ht="15.0" customHeight="1">
      <c r="A13" s="2" t="s">
        <v>11</v>
      </c>
      <c r="B13" s="2" t="str">
        <f>IF(B8&gt;0,"YES - $"&amp;TEXT(B9,"#,##0")&amp;"/mo surplus","NO - $"&amp;TEXT(ABS(B9),"#,##0")&amp;"/mo deficit")</f>
        <v>NO - $924/mo deficit</v>
      </c>
      <c r="C13" s="2"/>
      <c r="D13" s="2"/>
      <c r="E13" s="2"/>
    </row>
    <row r="14" ht="15.0" customHeight="1">
      <c r="A14" s="2" t="s">
        <v>12</v>
      </c>
      <c r="B14" s="2" t="str">
        <f>IF(B8&gt;50000,"3+ years","Review assumptions")</f>
        <v>Review assumptions</v>
      </c>
      <c r="C14" s="2"/>
      <c r="D14" s="2"/>
      <c r="E14" s="2"/>
    </row>
    <row r="15" ht="15.0" customHeight="1">
      <c r="A15" s="2" t="s">
        <v>13</v>
      </c>
      <c r="B15" s="2" t="str">
        <f>IF(B6-B7-2700*12&gt;0,"YES","TIGHT")</f>
        <v>TIGHT</v>
      </c>
      <c r="C15" s="2"/>
      <c r="D15" s="2"/>
      <c r="E15" s="2"/>
    </row>
    <row r="16">
      <c r="A16" s="2"/>
      <c r="B16" s="2"/>
      <c r="C16" s="2"/>
      <c r="D16" s="2"/>
      <c r="E16" s="2"/>
    </row>
    <row r="17" ht="15.0" customHeight="1">
      <c r="A17" s="3" t="s">
        <v>14</v>
      </c>
      <c r="B17" s="2" t="str">
        <f>CONCATENATE("Period: ",TEXT(Config!B6,"MMM DD"),"-",TEXT(Config!B7,"MMM DD"))</f>
        <v>Period: Oct 30-Jan 28</v>
      </c>
      <c r="C17" s="2"/>
      <c r="D17" s="2"/>
      <c r="E17" s="2"/>
    </row>
    <row r="18" ht="15.0" customHeight="1">
      <c r="A18" s="4" t="s">
        <v>2</v>
      </c>
      <c r="B18" s="4" t="s">
        <v>15</v>
      </c>
      <c r="C18" s="4" t="s">
        <v>16</v>
      </c>
      <c r="D18" s="4" t="s">
        <v>17</v>
      </c>
      <c r="E18" s="2"/>
    </row>
    <row r="19" ht="15.0" customHeight="1">
      <c r="A19" s="2" t="s">
        <v>18</v>
      </c>
      <c r="B19" s="5">
        <f>SUMIFS('Raw Data'!G3:G10000,'Raw Data'!G3:G10000,"&gt;0",'Raw Data'!A3:A10000,"&gt;="&amp;Config!B6,'Raw Data'!A3:A10000,"&lt;="&amp;Config!B7,'Raw Data'!J3:J10000,"")</f>
        <v>267041.08</v>
      </c>
      <c r="C19" s="5">
        <f>B19/Config!$B$9</f>
        <v>89013.69333</v>
      </c>
      <c r="D19" s="2"/>
      <c r="E19" s="2"/>
    </row>
    <row r="20" ht="15.0" customHeight="1">
      <c r="A20" s="2" t="s">
        <v>19</v>
      </c>
      <c r="B20" s="5">
        <f>ABS(SUMIFS('Raw Data'!G3:G10000,'Raw Data'!G3:G10000,"&lt;0",'Raw Data'!A3:A10000,"&gt;="&amp;Config!B6,'Raw Data'!A3:A10000,"&lt;="&amp;Config!B7,'Raw Data'!J3:J10000,""))</f>
        <v>197546.32</v>
      </c>
      <c r="C20" s="5">
        <f>B20/Config!$B$9</f>
        <v>65848.77333</v>
      </c>
      <c r="D20" s="2"/>
      <c r="E20" s="2"/>
    </row>
    <row r="21" ht="15.0" customHeight="1">
      <c r="A21" s="2" t="s">
        <v>20</v>
      </c>
      <c r="B21" s="5">
        <f t="shared" ref="B21:C21" si="1">B19-B20</f>
        <v>69494.76</v>
      </c>
      <c r="C21" s="5">
        <f t="shared" si="1"/>
        <v>23164.92</v>
      </c>
      <c r="D21" s="2" t="str">
        <f>IF(B21&gt;0,"✓ Positive","⚠ Negative")</f>
        <v>✓ Positive</v>
      </c>
      <c r="E21" s="2"/>
    </row>
    <row r="22" ht="15.0" customHeight="1">
      <c r="A22" s="2" t="s">
        <v>9</v>
      </c>
      <c r="B22" s="6">
        <f>IF(B19&gt;0,B21/B19,0)</f>
        <v>0.2602399601</v>
      </c>
      <c r="C22" s="2"/>
      <c r="D22" s="2" t="str">
        <f>IF(B22&gt;=0.2,"✓ On Track","⚠ Below Target")</f>
        <v>✓ On Track</v>
      </c>
      <c r="E22" s="2"/>
    </row>
    <row r="23" ht="15.75" customHeight="1">
      <c r="A23" s="2"/>
      <c r="B23" s="2"/>
      <c r="C23" s="2"/>
      <c r="D23" s="2"/>
      <c r="E23" s="2"/>
    </row>
    <row r="24" ht="15.0" customHeight="1">
      <c r="A24" s="3" t="s">
        <v>21</v>
      </c>
      <c r="B24" s="2"/>
      <c r="C24" s="2"/>
      <c r="D24" s="2"/>
      <c r="E24" s="2"/>
    </row>
    <row r="25" ht="15.0" customHeight="1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17</v>
      </c>
    </row>
    <row r="26" ht="15.0" customHeight="1">
      <c r="A26" s="2" t="s">
        <v>26</v>
      </c>
      <c r="B26" s="5">
        <f>ABS(SUMIFS('Raw Data'!G3:G10000,'Raw Data'!C3:C10000,"Groceries",'Raw Data'!G3:G10000,"&lt;0",'Raw Data'!A3:A10000,"&gt;="&amp;Config!B6,'Raw Data'!A3:A10000,"&lt;="&amp;Config!B7,'Raw Data'!J3:J10000,""))/Config!$B$9</f>
        <v>1999.586667</v>
      </c>
      <c r="C26" s="5">
        <f>Config!B31</f>
        <v>2000</v>
      </c>
      <c r="D26" s="5">
        <f t="shared" ref="D26:D29" si="2">C26-B26</f>
        <v>0.4133333333</v>
      </c>
      <c r="E26" s="2" t="str">
        <f t="shared" ref="E26:E29" si="3">IF(D26&lt;0,"⚠ OVER","✓ OK")</f>
        <v>✓ OK</v>
      </c>
    </row>
    <row r="27" ht="15.0" customHeight="1">
      <c r="A27" s="2" t="s">
        <v>27</v>
      </c>
      <c r="B27" s="5">
        <f>ABS(SUMIFS('Raw Data'!G3:G10000,'Raw Data'!C3:C10000,"Shopping",'Raw Data'!G3:G10000,"&lt;0",'Raw Data'!A3:A10000,"&gt;="&amp;Config!B6,'Raw Data'!A3:A10000,"&lt;="&amp;Config!B7,'Raw Data'!J3:J10000,""))/Config!$B$9</f>
        <v>3382.513333</v>
      </c>
      <c r="C27" s="5">
        <f>Config!B33</f>
        <v>2500</v>
      </c>
      <c r="D27" s="5">
        <f t="shared" si="2"/>
        <v>-882.5133333</v>
      </c>
      <c r="E27" s="2" t="str">
        <f t="shared" si="3"/>
        <v>⚠ OVER</v>
      </c>
    </row>
    <row r="28" ht="15.0" customHeight="1">
      <c r="A28" s="2" t="s">
        <v>28</v>
      </c>
      <c r="B28" s="5">
        <f>ABS(SUMIFS('Raw Data'!G3:G10000,'Raw Data'!C3:C10000,"Restaurants &amp; Bars",'Raw Data'!G3:G10000,"&lt;0",'Raw Data'!A3:A10000,"&gt;="&amp;Config!B6,'Raw Data'!A3:A10000,"&lt;="&amp;Config!B7,'Raw Data'!J3:J10000,""))/Config!$B$9</f>
        <v>1057.756667</v>
      </c>
      <c r="C28" s="5">
        <f>Config!B32</f>
        <v>800</v>
      </c>
      <c r="D28" s="5">
        <f t="shared" si="2"/>
        <v>-257.7566667</v>
      </c>
      <c r="E28" s="2" t="str">
        <f t="shared" si="3"/>
        <v>⚠ OVER</v>
      </c>
    </row>
    <row r="29" ht="15.0" customHeight="1">
      <c r="A29" s="2" t="s">
        <v>29</v>
      </c>
      <c r="B29" s="5">
        <f>ABS(SUMIFS('Raw Data'!G3:G10000,'Raw Data'!B3:B10000,"*Amazon*",'Raw Data'!G3:G10000,"&lt;0",'Raw Data'!A3:A10000,"&gt;="&amp;Config!B6,'Raw Data'!A3:A10000,"&lt;="&amp;Config!B7,'Raw Data'!J3:J10000,""))/Config!$B$9</f>
        <v>1404.536667</v>
      </c>
      <c r="C29" s="5">
        <f>Config!E31</f>
        <v>1000</v>
      </c>
      <c r="D29" s="5">
        <f t="shared" si="2"/>
        <v>-404.5366667</v>
      </c>
      <c r="E29" s="2" t="str">
        <f t="shared" si="3"/>
        <v>⚠ OVER</v>
      </c>
    </row>
    <row r="30" ht="15.75" customHeight="1">
      <c r="A30" s="2"/>
      <c r="B30" s="2"/>
      <c r="C30" s="2"/>
      <c r="D30" s="2"/>
      <c r="E30" s="2"/>
    </row>
    <row r="31" ht="15.0" customHeight="1">
      <c r="A31" s="3" t="s">
        <v>30</v>
      </c>
      <c r="B31" s="2"/>
      <c r="C31" s="2"/>
      <c r="D31" s="2"/>
      <c r="E31" s="2"/>
    </row>
    <row r="32" ht="15.0" customHeight="1">
      <c r="A32" s="2" t="s">
        <v>31</v>
      </c>
      <c r="B32" s="2"/>
      <c r="C32" s="2"/>
      <c r="D32" s="2"/>
      <c r="E32" s="2"/>
    </row>
    <row r="33" ht="15.0" customHeight="1">
      <c r="A33" s="2" t="s">
        <v>32</v>
      </c>
      <c r="B33" s="2"/>
      <c r="C33" s="2"/>
      <c r="D33" s="2"/>
      <c r="E33" s="2"/>
    </row>
    <row r="34" ht="15.0" customHeight="1">
      <c r="A34" s="2" t="s">
        <v>33</v>
      </c>
      <c r="B34" s="2"/>
      <c r="C34" s="2"/>
      <c r="D34" s="2"/>
      <c r="E34" s="2"/>
    </row>
    <row r="35" ht="15.0" customHeight="1">
      <c r="A35" s="2" t="s">
        <v>34</v>
      </c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3" width="30.0"/>
    <col customWidth="1" min="4" max="26" width="8.71"/>
  </cols>
  <sheetData>
    <row r="1" ht="21.75" customHeight="1">
      <c r="A1" s="7" t="s">
        <v>35</v>
      </c>
      <c r="B1" s="2"/>
      <c r="C1" s="2"/>
    </row>
    <row r="2" ht="15.0" customHeight="1">
      <c r="A2" s="8" t="s">
        <v>36</v>
      </c>
      <c r="B2" s="2"/>
      <c r="C2" s="2"/>
    </row>
    <row r="3">
      <c r="A3" s="2"/>
      <c r="B3" s="2"/>
      <c r="C3" s="2"/>
    </row>
    <row r="4" ht="15.0" customHeight="1">
      <c r="A4" s="9" t="s">
        <v>37</v>
      </c>
      <c r="B4" s="2"/>
      <c r="C4" s="2"/>
    </row>
    <row r="5" ht="15.0" customHeight="1">
      <c r="A5" s="10" t="s">
        <v>38</v>
      </c>
      <c r="B5" s="10" t="s">
        <v>3</v>
      </c>
      <c r="C5" s="10" t="s">
        <v>39</v>
      </c>
    </row>
    <row r="6" ht="15.0" customHeight="1">
      <c r="A6" s="2" t="s">
        <v>40</v>
      </c>
      <c r="B6" s="11">
        <v>120000.0</v>
      </c>
      <c r="C6" s="12" t="s">
        <v>41</v>
      </c>
    </row>
    <row r="7" ht="15.0" customHeight="1">
      <c r="A7" s="2" t="s">
        <v>42</v>
      </c>
      <c r="B7" s="13">
        <v>1200.0</v>
      </c>
      <c r="C7" s="12" t="s">
        <v>43</v>
      </c>
    </row>
    <row r="8" ht="15.0" customHeight="1">
      <c r="A8" s="2" t="s">
        <v>44</v>
      </c>
      <c r="B8" s="14">
        <v>350.0</v>
      </c>
      <c r="C8" s="12" t="s">
        <v>45</v>
      </c>
    </row>
    <row r="9" ht="15.0" customHeight="1">
      <c r="A9" s="2" t="s">
        <v>46</v>
      </c>
      <c r="B9" s="15">
        <v>0.85</v>
      </c>
      <c r="C9" s="12" t="s">
        <v>47</v>
      </c>
    </row>
    <row r="10" ht="15.0" customHeight="1">
      <c r="A10" s="2" t="s">
        <v>48</v>
      </c>
      <c r="B10" s="16">
        <v>0.3</v>
      </c>
      <c r="C10" s="12" t="s">
        <v>49</v>
      </c>
    </row>
    <row r="11" ht="15.0" customHeight="1">
      <c r="A11" s="2" t="s">
        <v>50</v>
      </c>
      <c r="B11" s="17">
        <v>300000.0</v>
      </c>
      <c r="C11" s="12" t="s">
        <v>51</v>
      </c>
    </row>
    <row r="12">
      <c r="A12" s="2"/>
      <c r="B12" s="2"/>
      <c r="C12" s="2"/>
    </row>
    <row r="13" ht="15.0" customHeight="1">
      <c r="A13" s="4" t="s">
        <v>52</v>
      </c>
      <c r="B13" s="2"/>
      <c r="C13" s="2"/>
    </row>
    <row r="14" ht="15.0" customHeight="1">
      <c r="A14" s="2" t="s">
        <v>53</v>
      </c>
      <c r="B14" s="18">
        <f>B7*B8*B9</f>
        <v>357000</v>
      </c>
      <c r="C14" s="2"/>
    </row>
    <row r="15" ht="15.0" customHeight="1">
      <c r="A15" s="2" t="s">
        <v>54</v>
      </c>
      <c r="B15" s="18">
        <f>B10*B11</f>
        <v>90000</v>
      </c>
      <c r="C15" s="2"/>
      <c r="D15" s="19" t="s">
        <v>55</v>
      </c>
      <c r="E15" s="19" t="s">
        <v>56</v>
      </c>
      <c r="F15" s="19" t="s">
        <v>57</v>
      </c>
      <c r="G15" s="19" t="s">
        <v>58</v>
      </c>
      <c r="H15" s="19" t="s">
        <v>59</v>
      </c>
    </row>
    <row r="16" ht="15.0" customHeight="1">
      <c r="A16" s="2" t="s">
        <v>60</v>
      </c>
      <c r="B16" s="20">
        <f>B6+B15</f>
        <v>210000</v>
      </c>
      <c r="C16" s="2"/>
      <c r="D16" s="21">
        <f>B16</f>
        <v>210000</v>
      </c>
      <c r="E16" s="22">
        <v>240000.0</v>
      </c>
      <c r="F16" s="22">
        <v>260000.0</v>
      </c>
      <c r="G16" s="22">
        <v>280000.0</v>
      </c>
      <c r="H16" s="22">
        <v>300000.0</v>
      </c>
    </row>
    <row r="17" ht="15.0" customHeight="1">
      <c r="A17" s="23" t="s">
        <v>61</v>
      </c>
      <c r="B17" s="24">
        <v>0.3</v>
      </c>
      <c r="C17" s="2"/>
      <c r="D17" s="25">
        <f t="shared" ref="D17:H17" si="1">$B17</f>
        <v>0.3</v>
      </c>
      <c r="E17" s="25">
        <f t="shared" si="1"/>
        <v>0.3</v>
      </c>
      <c r="F17" s="25">
        <f t="shared" si="1"/>
        <v>0.3</v>
      </c>
      <c r="G17" s="25">
        <f t="shared" si="1"/>
        <v>0.3</v>
      </c>
      <c r="H17" s="25">
        <f t="shared" si="1"/>
        <v>0.3</v>
      </c>
    </row>
    <row r="18" ht="15.0" customHeight="1">
      <c r="A18" s="23" t="s">
        <v>62</v>
      </c>
      <c r="B18" s="18">
        <f>B16*B17</f>
        <v>63000</v>
      </c>
      <c r="C18" s="2"/>
      <c r="D18" s="26">
        <f t="shared" ref="D18:H18" si="2">D16*D17</f>
        <v>63000</v>
      </c>
      <c r="E18" s="26">
        <f t="shared" si="2"/>
        <v>72000</v>
      </c>
      <c r="F18" s="26">
        <f t="shared" si="2"/>
        <v>78000</v>
      </c>
      <c r="G18" s="26">
        <f t="shared" si="2"/>
        <v>84000</v>
      </c>
      <c r="H18" s="26">
        <f t="shared" si="2"/>
        <v>90000</v>
      </c>
    </row>
    <row r="19" ht="15.0" customHeight="1">
      <c r="A19" s="2" t="s">
        <v>63</v>
      </c>
      <c r="B19" s="27">
        <f>B16-B18</f>
        <v>147000</v>
      </c>
      <c r="C19" s="2"/>
      <c r="D19" s="21">
        <f t="shared" ref="D19:H19" si="3">D16-D18</f>
        <v>147000</v>
      </c>
      <c r="E19" s="26">
        <f t="shared" si="3"/>
        <v>168000</v>
      </c>
      <c r="F19" s="26">
        <f t="shared" si="3"/>
        <v>182000</v>
      </c>
      <c r="G19" s="26">
        <f t="shared" si="3"/>
        <v>196000</v>
      </c>
      <c r="H19" s="26">
        <f t="shared" si="3"/>
        <v>210000</v>
      </c>
    </row>
    <row r="20">
      <c r="A20" s="2"/>
      <c r="B20" s="2"/>
      <c r="C20" s="2"/>
    </row>
    <row r="21">
      <c r="A21" s="2"/>
      <c r="B21" s="2"/>
      <c r="C21" s="2"/>
    </row>
    <row r="22" ht="15.0" customHeight="1">
      <c r="A22" s="9" t="s">
        <v>64</v>
      </c>
      <c r="B22" s="2"/>
      <c r="C22" s="2"/>
    </row>
    <row r="23" ht="15.0" customHeight="1">
      <c r="A23" s="10" t="s">
        <v>38</v>
      </c>
      <c r="B23" s="10" t="s">
        <v>3</v>
      </c>
      <c r="C23" s="10" t="s">
        <v>39</v>
      </c>
    </row>
    <row r="24" ht="15.0" customHeight="1">
      <c r="A24" s="2" t="s">
        <v>65</v>
      </c>
      <c r="B24" s="11">
        <v>52000.0</v>
      </c>
      <c r="C24" s="12" t="s">
        <v>66</v>
      </c>
    </row>
    <row r="25" ht="15.0" customHeight="1">
      <c r="A25" s="2" t="s">
        <v>67</v>
      </c>
      <c r="B25" s="11">
        <v>0.0</v>
      </c>
      <c r="C25" s="12" t="s">
        <v>68</v>
      </c>
    </row>
    <row r="26" ht="15.0" customHeight="1">
      <c r="A26" s="2" t="s">
        <v>69</v>
      </c>
      <c r="B26" s="17">
        <v>0.0</v>
      </c>
      <c r="C26" s="12"/>
    </row>
    <row r="27" ht="15.0" customHeight="1">
      <c r="A27" s="2" t="s">
        <v>70</v>
      </c>
      <c r="B27" s="17">
        <v>0.0</v>
      </c>
      <c r="C27" s="12" t="s">
        <v>71</v>
      </c>
    </row>
    <row r="28" ht="15.0" customHeight="1">
      <c r="A28" s="2" t="s">
        <v>72</v>
      </c>
      <c r="B28" s="17">
        <v>0.0</v>
      </c>
      <c r="C28" s="12" t="s">
        <v>73</v>
      </c>
    </row>
    <row r="29" ht="15.0" customHeight="1">
      <c r="A29" s="2" t="s">
        <v>74</v>
      </c>
      <c r="B29" s="17">
        <v>0.0</v>
      </c>
      <c r="C29" s="12" t="s">
        <v>75</v>
      </c>
    </row>
    <row r="30" ht="15.0" customHeight="1">
      <c r="A30" s="2" t="s">
        <v>76</v>
      </c>
      <c r="B30" s="15">
        <v>0.25</v>
      </c>
      <c r="C30" s="12" t="s">
        <v>77</v>
      </c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0" customHeight="1">
      <c r="A33" s="9" t="s">
        <v>78</v>
      </c>
      <c r="B33" s="2"/>
      <c r="C33" s="2"/>
    </row>
    <row r="34" ht="15.0" customHeight="1">
      <c r="A34" s="10" t="s">
        <v>22</v>
      </c>
      <c r="B34" s="10" t="s">
        <v>79</v>
      </c>
      <c r="C34" s="10" t="s">
        <v>39</v>
      </c>
    </row>
    <row r="35" ht="15.0" customHeight="1">
      <c r="A35" s="2" t="s">
        <v>80</v>
      </c>
      <c r="B35" s="11">
        <v>4692.0</v>
      </c>
      <c r="C35" s="12" t="s">
        <v>81</v>
      </c>
    </row>
    <row r="36" ht="15.0" customHeight="1">
      <c r="A36" s="2" t="s">
        <v>82</v>
      </c>
      <c r="B36" s="11">
        <v>1827.0</v>
      </c>
      <c r="C36" s="12" t="s">
        <v>83</v>
      </c>
    </row>
    <row r="37" ht="15.0" customHeight="1">
      <c r="A37" s="2" t="s">
        <v>84</v>
      </c>
      <c r="B37" s="11">
        <v>1024.0</v>
      </c>
      <c r="C37" s="12" t="s">
        <v>85</v>
      </c>
    </row>
    <row r="38" ht="15.0" customHeight="1">
      <c r="A38" s="2" t="s">
        <v>86</v>
      </c>
      <c r="B38" s="11">
        <v>681.0</v>
      </c>
      <c r="C38" s="12" t="s">
        <v>87</v>
      </c>
    </row>
    <row r="39" ht="15.0" customHeight="1">
      <c r="A39" s="2" t="s">
        <v>88</v>
      </c>
      <c r="B39" s="11">
        <v>2200.0</v>
      </c>
      <c r="C39" s="12" t="s">
        <v>89</v>
      </c>
    </row>
    <row r="40" ht="15.0" customHeight="1">
      <c r="A40" s="2" t="s">
        <v>90</v>
      </c>
      <c r="B40" s="11">
        <v>2000.0</v>
      </c>
      <c r="C40" s="12" t="s">
        <v>91</v>
      </c>
    </row>
    <row r="41" ht="15.0" customHeight="1">
      <c r="A41" s="2" t="s">
        <v>92</v>
      </c>
      <c r="B41" s="11">
        <v>4000.0</v>
      </c>
      <c r="C41" s="12" t="s">
        <v>93</v>
      </c>
    </row>
    <row r="42" ht="15.0" customHeight="1">
      <c r="A42" s="2" t="s">
        <v>94</v>
      </c>
      <c r="B42" s="15">
        <v>0.03</v>
      </c>
      <c r="C42" s="12" t="s">
        <v>95</v>
      </c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0" customHeight="1">
      <c r="A45" s="9" t="s">
        <v>96</v>
      </c>
      <c r="B45" s="2"/>
      <c r="C45" s="2"/>
    </row>
    <row r="46" ht="15.0" customHeight="1">
      <c r="A46" s="10" t="s">
        <v>97</v>
      </c>
      <c r="B46" s="10" t="s">
        <v>3</v>
      </c>
      <c r="C46" s="10" t="s">
        <v>39</v>
      </c>
    </row>
    <row r="47" ht="15.0" customHeight="1">
      <c r="A47" s="2" t="s">
        <v>98</v>
      </c>
      <c r="B47" s="11">
        <v>300000.0</v>
      </c>
      <c r="C47" s="12" t="s">
        <v>99</v>
      </c>
    </row>
    <row r="48" ht="15.0" customHeight="1">
      <c r="A48" s="2" t="s">
        <v>100</v>
      </c>
      <c r="B48" s="11">
        <v>80000.0</v>
      </c>
      <c r="C48" s="12" t="s">
        <v>101</v>
      </c>
    </row>
    <row r="49" ht="15.0" customHeight="1">
      <c r="A49" s="2" t="s">
        <v>102</v>
      </c>
      <c r="B49" s="11">
        <v>150000.0</v>
      </c>
      <c r="C49" s="12" t="s">
        <v>103</v>
      </c>
    </row>
    <row r="50" ht="15.0" customHeight="1">
      <c r="A50" s="2" t="s">
        <v>104</v>
      </c>
      <c r="B50" s="11">
        <v>826448.0</v>
      </c>
      <c r="C50" s="12" t="s">
        <v>105</v>
      </c>
    </row>
    <row r="51" ht="15.0" customHeight="1">
      <c r="A51" s="2" t="s">
        <v>106</v>
      </c>
      <c r="B51" s="11">
        <v>50000.0</v>
      </c>
      <c r="C51" s="12" t="s">
        <v>89</v>
      </c>
    </row>
    <row r="52" ht="15.0" customHeight="1">
      <c r="A52" s="2" t="s">
        <v>107</v>
      </c>
      <c r="B52" s="11">
        <v>25000.0</v>
      </c>
      <c r="C52" s="12" t="s">
        <v>108</v>
      </c>
    </row>
    <row r="53" ht="15.0" customHeight="1">
      <c r="A53" s="2" t="s">
        <v>109</v>
      </c>
      <c r="B53" s="15">
        <v>0.07</v>
      </c>
      <c r="C53" s="12" t="s">
        <v>110</v>
      </c>
    </row>
    <row r="54" ht="15.0" customHeight="1">
      <c r="A54" s="2" t="s">
        <v>111</v>
      </c>
      <c r="B54" s="15">
        <v>0.055</v>
      </c>
      <c r="C54" s="12" t="s">
        <v>112</v>
      </c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  <row r="1001" ht="15.75" customHeight="1">
      <c r="A1001" s="2"/>
      <c r="B1001" s="2"/>
      <c r="C1001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14.86"/>
    <col customWidth="1" min="3" max="3" width="17.86"/>
    <col customWidth="1" min="4" max="6" width="14.86"/>
    <col customWidth="1" min="7" max="26" width="8.71"/>
  </cols>
  <sheetData>
    <row r="1" ht="21.75" customHeight="1">
      <c r="A1" s="7" t="s">
        <v>113</v>
      </c>
      <c r="B1" s="2"/>
    </row>
    <row r="2">
      <c r="A2" s="2"/>
      <c r="B2" s="2"/>
    </row>
    <row r="3" ht="15.0" customHeight="1">
      <c r="A3" s="4"/>
      <c r="B3" s="19" t="s">
        <v>55</v>
      </c>
      <c r="C3" s="19" t="s">
        <v>56</v>
      </c>
      <c r="D3" s="19" t="s">
        <v>57</v>
      </c>
      <c r="E3" s="19" t="s">
        <v>58</v>
      </c>
      <c r="F3" s="19" t="s">
        <v>59</v>
      </c>
    </row>
    <row r="4" ht="15.0" customHeight="1">
      <c r="A4" s="9" t="s">
        <v>114</v>
      </c>
      <c r="B4" s="2"/>
    </row>
    <row r="5" ht="15.0" customHeight="1">
      <c r="A5" s="2" t="s">
        <v>115</v>
      </c>
      <c r="B5" s="18">
        <f>Assumptions!D16</f>
        <v>210000</v>
      </c>
      <c r="C5" s="18">
        <f>Assumptions!E16</f>
        <v>240000</v>
      </c>
      <c r="D5" s="18">
        <f>Assumptions!F16</f>
        <v>260000</v>
      </c>
      <c r="E5" s="18">
        <f>Assumptions!G16</f>
        <v>280000</v>
      </c>
      <c r="F5" s="18">
        <f>Assumptions!H16</f>
        <v>300000</v>
      </c>
    </row>
    <row r="6" ht="15.0" customHeight="1">
      <c r="A6" s="2" t="s">
        <v>116</v>
      </c>
      <c r="B6" s="18">
        <f>Assumptions!$B$24</f>
        <v>52000</v>
      </c>
      <c r="C6" s="18">
        <f>Assumptions!$B$24</f>
        <v>52000</v>
      </c>
      <c r="D6" s="18">
        <f>Assumptions!$B$24</f>
        <v>52000</v>
      </c>
      <c r="E6" s="18">
        <f>Assumptions!$B$24</f>
        <v>52000</v>
      </c>
      <c r="F6" s="18">
        <f>Assumptions!$B$24</f>
        <v>52000</v>
      </c>
    </row>
    <row r="7" ht="15.0" customHeight="1">
      <c r="A7" s="2" t="s">
        <v>117</v>
      </c>
      <c r="B7" s="18">
        <f>Assumptions!$B$25</f>
        <v>0</v>
      </c>
      <c r="C7" s="18">
        <f>Assumptions!$B$26</f>
        <v>0</v>
      </c>
      <c r="D7" s="18">
        <f>Assumptions!$B$27</f>
        <v>0</v>
      </c>
      <c r="E7" s="18">
        <f>Assumptions!$B$28</f>
        <v>0</v>
      </c>
      <c r="F7" s="18">
        <f>Assumptions!$B$29</f>
        <v>0</v>
      </c>
    </row>
    <row r="8" ht="15.0" customHeight="1">
      <c r="A8" s="4" t="s">
        <v>118</v>
      </c>
      <c r="B8" s="20">
        <f t="shared" ref="B8:F8" si="1">SUM(B5:B7)</f>
        <v>262000</v>
      </c>
      <c r="C8" s="20">
        <f t="shared" si="1"/>
        <v>292000</v>
      </c>
      <c r="D8" s="20">
        <f t="shared" si="1"/>
        <v>312000</v>
      </c>
      <c r="E8" s="20">
        <f t="shared" si="1"/>
        <v>332000</v>
      </c>
      <c r="F8" s="20">
        <f t="shared" si="1"/>
        <v>352000</v>
      </c>
    </row>
    <row r="9">
      <c r="A9" s="2"/>
      <c r="B9" s="2"/>
    </row>
    <row r="10" ht="15.0" customHeight="1">
      <c r="A10" s="9" t="s">
        <v>119</v>
      </c>
      <c r="B10" s="2"/>
    </row>
    <row r="11" ht="15.0" customHeight="1">
      <c r="A11" s="2" t="s">
        <v>120</v>
      </c>
      <c r="B11" s="18">
        <f t="shared" ref="B11:F11" si="2">B5*0.3</f>
        <v>63000</v>
      </c>
      <c r="C11" s="18">
        <f t="shared" si="2"/>
        <v>72000</v>
      </c>
      <c r="D11" s="18">
        <f t="shared" si="2"/>
        <v>78000</v>
      </c>
      <c r="E11" s="18">
        <f t="shared" si="2"/>
        <v>84000</v>
      </c>
      <c r="F11" s="18">
        <f t="shared" si="2"/>
        <v>90000</v>
      </c>
    </row>
    <row r="12" ht="15.0" customHeight="1">
      <c r="A12" s="2" t="s">
        <v>121</v>
      </c>
      <c r="B12" s="18">
        <f t="shared" ref="B12:F12" si="3">(B6+B7)*0.25</f>
        <v>13000</v>
      </c>
      <c r="C12" s="18">
        <f t="shared" si="3"/>
        <v>13000</v>
      </c>
      <c r="D12" s="18">
        <f t="shared" si="3"/>
        <v>13000</v>
      </c>
      <c r="E12" s="18">
        <f t="shared" si="3"/>
        <v>13000</v>
      </c>
      <c r="F12" s="18">
        <f t="shared" si="3"/>
        <v>13000</v>
      </c>
    </row>
    <row r="13" ht="15.0" customHeight="1">
      <c r="A13" s="4" t="s">
        <v>122</v>
      </c>
      <c r="B13" s="20">
        <f t="shared" ref="B13:F13" si="4">B11+B12</f>
        <v>76000</v>
      </c>
      <c r="C13" s="20">
        <f t="shared" si="4"/>
        <v>85000</v>
      </c>
      <c r="D13" s="20">
        <f t="shared" si="4"/>
        <v>91000</v>
      </c>
      <c r="E13" s="20">
        <f t="shared" si="4"/>
        <v>97000</v>
      </c>
      <c r="F13" s="20">
        <f t="shared" si="4"/>
        <v>103000</v>
      </c>
    </row>
    <row r="14" ht="15.0" customHeight="1">
      <c r="A14" s="28" t="s">
        <v>123</v>
      </c>
      <c r="B14" s="27">
        <f t="shared" ref="B14:F14" si="5">B8-B13</f>
        <v>186000</v>
      </c>
      <c r="C14" s="27">
        <f t="shared" si="5"/>
        <v>207000</v>
      </c>
      <c r="D14" s="27">
        <f t="shared" si="5"/>
        <v>221000</v>
      </c>
      <c r="E14" s="27">
        <f t="shared" si="5"/>
        <v>235000</v>
      </c>
      <c r="F14" s="27">
        <f t="shared" si="5"/>
        <v>249000</v>
      </c>
    </row>
    <row r="15">
      <c r="A15" s="2"/>
      <c r="B15" s="2"/>
    </row>
    <row r="16" ht="15.0" customHeight="1">
      <c r="A16" s="9" t="s">
        <v>124</v>
      </c>
      <c r="B16" s="2"/>
    </row>
    <row r="17" ht="15.0" customHeight="1">
      <c r="A17" s="2" t="s">
        <v>125</v>
      </c>
      <c r="B17" s="18">
        <f>Assumptions!$B$35*12</f>
        <v>56304</v>
      </c>
      <c r="C17" s="18">
        <f>Assumptions!$B$35*12</f>
        <v>56304</v>
      </c>
      <c r="D17" s="18">
        <f>Assumptions!$B$35*12</f>
        <v>56304</v>
      </c>
      <c r="E17" s="18">
        <f>Assumptions!$B$35*12</f>
        <v>56304</v>
      </c>
      <c r="F17" s="18">
        <f>Assumptions!$B$35*12</f>
        <v>56304</v>
      </c>
    </row>
    <row r="18" ht="15.0" customHeight="1">
      <c r="A18" s="2" t="s">
        <v>126</v>
      </c>
      <c r="B18" s="18">
        <f>Assumptions!$B$36*12*(1+Assumptions!$B$42)^0</f>
        <v>21924</v>
      </c>
      <c r="C18" s="18">
        <f>Assumptions!$B$36*12*(1+Assumptions!$B$42)^1</f>
        <v>22581.72</v>
      </c>
      <c r="D18" s="18">
        <f>Assumptions!$B$36*12*(1+Assumptions!$B$42)^2</f>
        <v>23259.1716</v>
      </c>
      <c r="E18" s="18">
        <f>Assumptions!$B$36*12*(1+Assumptions!$B$42)^3</f>
        <v>23956.94675</v>
      </c>
      <c r="F18" s="18">
        <f>Assumptions!$B$36*12*(1+Assumptions!$B$42)^4</f>
        <v>24675.65515</v>
      </c>
    </row>
    <row r="19" ht="15.0" customHeight="1">
      <c r="A19" s="2" t="s">
        <v>127</v>
      </c>
      <c r="B19" s="18">
        <f>Assumptions!$B$37*12</f>
        <v>12288</v>
      </c>
      <c r="C19" s="18">
        <f>Assumptions!$B$37*12</f>
        <v>12288</v>
      </c>
      <c r="D19" s="18">
        <f>Assumptions!$B$37*12</f>
        <v>12288</v>
      </c>
      <c r="E19" s="18">
        <f>Assumptions!$B$37*12</f>
        <v>12288</v>
      </c>
      <c r="F19" s="18">
        <f>Assumptions!$B$37*12</f>
        <v>12288</v>
      </c>
    </row>
    <row r="20" ht="15.0" customHeight="1">
      <c r="A20" s="2" t="s">
        <v>108</v>
      </c>
      <c r="B20" s="18">
        <f>Assumptions!$B$38*12</f>
        <v>8172</v>
      </c>
      <c r="C20" s="18">
        <f>Assumptions!$B$38*12</f>
        <v>8172</v>
      </c>
      <c r="D20" s="18">
        <f>Assumptions!$B$38*12</f>
        <v>8172</v>
      </c>
      <c r="E20" s="18">
        <f>Assumptions!$B$38*12</f>
        <v>8172</v>
      </c>
      <c r="F20" s="18">
        <f>Assumptions!$B$38*12</f>
        <v>8172</v>
      </c>
    </row>
    <row r="21" ht="15.0" customHeight="1">
      <c r="A21" s="2" t="s">
        <v>128</v>
      </c>
      <c r="B21" s="18">
        <f>Assumptions!$B$39*6</f>
        <v>13200</v>
      </c>
      <c r="C21" s="18">
        <f>Assumptions!$B$39*12</f>
        <v>26400</v>
      </c>
      <c r="D21" s="18">
        <f>Assumptions!$B$39*12*(1+Assumptions!$B$42)^1</f>
        <v>27192</v>
      </c>
      <c r="E21" s="18">
        <f>Assumptions!$B$39*12*(1+Assumptions!$B$42)^2</f>
        <v>28007.76</v>
      </c>
      <c r="F21" s="18">
        <f>Assumptions!$B$39*12*(1+Assumptions!$B$42)^3</f>
        <v>28847.9928</v>
      </c>
    </row>
    <row r="22" ht="15.0" customHeight="1">
      <c r="A22" s="2" t="s">
        <v>26</v>
      </c>
      <c r="B22" s="18">
        <f>Assumptions!$B$40*12*(1+Assumptions!$B$42)^0</f>
        <v>24000</v>
      </c>
      <c r="C22" s="18">
        <f>Assumptions!$B$40*12*(1+Assumptions!$B$42)^1</f>
        <v>24720</v>
      </c>
      <c r="D22" s="18">
        <f>Assumptions!$B$40*12*(1+Assumptions!$B$42)^2</f>
        <v>25461.6</v>
      </c>
      <c r="E22" s="18">
        <f>Assumptions!$B$40*12*(1+Assumptions!$B$42)^3</f>
        <v>26225.448</v>
      </c>
      <c r="F22" s="18">
        <f>Assumptions!$B$40*12*(1+Assumptions!$B$42)^4</f>
        <v>27012.21144</v>
      </c>
    </row>
    <row r="23" ht="15.0" customHeight="1">
      <c r="A23" s="2" t="s">
        <v>129</v>
      </c>
      <c r="B23" s="18">
        <f>Assumptions!$B$41*12*(1+Assumptions!$B$42)^0</f>
        <v>48000</v>
      </c>
      <c r="C23" s="18">
        <f>Assumptions!$B$41*12*(1+Assumptions!$B$42)^1</f>
        <v>49440</v>
      </c>
      <c r="D23" s="18">
        <f>Assumptions!$B$41*12*(1+Assumptions!$B$42)^2</f>
        <v>50923.2</v>
      </c>
      <c r="E23" s="18">
        <f>Assumptions!$B$41*12*(1+Assumptions!$B$42)^3</f>
        <v>52450.896</v>
      </c>
      <c r="F23" s="18">
        <f>Assumptions!$B$41*12*(1+Assumptions!$B$42)^4</f>
        <v>54024.42288</v>
      </c>
    </row>
    <row r="24" ht="15.0" customHeight="1">
      <c r="A24" s="4" t="s">
        <v>130</v>
      </c>
      <c r="B24" s="20">
        <f t="shared" ref="B24:F24" si="6">B17+B18+B19+B20+B21+B22+B23</f>
        <v>183888</v>
      </c>
      <c r="C24" s="20">
        <f t="shared" si="6"/>
        <v>199905.72</v>
      </c>
      <c r="D24" s="20">
        <f t="shared" si="6"/>
        <v>203599.9716</v>
      </c>
      <c r="E24" s="20">
        <f t="shared" si="6"/>
        <v>207405.0507</v>
      </c>
      <c r="F24" s="20">
        <f t="shared" si="6"/>
        <v>211324.2823</v>
      </c>
    </row>
    <row r="25" ht="15.75" customHeight="1">
      <c r="A25" s="2"/>
      <c r="B25" s="2"/>
    </row>
    <row r="26" ht="17.25" customHeight="1">
      <c r="A26" s="29" t="s">
        <v>131</v>
      </c>
      <c r="B26" s="30">
        <f t="shared" ref="B26:F26" si="7">B14-B24</f>
        <v>2112</v>
      </c>
      <c r="C26" s="30">
        <f t="shared" si="7"/>
        <v>7094.28</v>
      </c>
      <c r="D26" s="30">
        <f t="shared" si="7"/>
        <v>17400.0284</v>
      </c>
      <c r="E26" s="30">
        <f t="shared" si="7"/>
        <v>27594.94925</v>
      </c>
      <c r="F26" s="30">
        <f t="shared" si="7"/>
        <v>37675.71773</v>
      </c>
    </row>
    <row r="27" ht="15.0" customHeight="1">
      <c r="A27" s="2" t="s">
        <v>8</v>
      </c>
      <c r="B27" s="18">
        <f t="shared" ref="B27:F27" si="8">B26/12</f>
        <v>176</v>
      </c>
      <c r="C27" s="18">
        <f t="shared" si="8"/>
        <v>591.19</v>
      </c>
      <c r="D27" s="18">
        <f t="shared" si="8"/>
        <v>1450.002367</v>
      </c>
      <c r="E27" s="18">
        <f t="shared" si="8"/>
        <v>2299.579104</v>
      </c>
      <c r="F27" s="18">
        <f t="shared" si="8"/>
        <v>3139.643144</v>
      </c>
    </row>
    <row r="28" ht="15.0" customHeight="1">
      <c r="A28" s="2" t="s">
        <v>9</v>
      </c>
      <c r="B28" s="6">
        <f t="shared" ref="B28:F28" si="9">B26/B14</f>
        <v>0.01135483871</v>
      </c>
      <c r="C28" s="6">
        <f t="shared" si="9"/>
        <v>0.03427188406</v>
      </c>
      <c r="D28" s="6">
        <f t="shared" si="9"/>
        <v>0.07873316018</v>
      </c>
      <c r="E28" s="6">
        <f t="shared" si="9"/>
        <v>0.117425316</v>
      </c>
      <c r="F28" s="6">
        <f t="shared" si="9"/>
        <v>0.1513081033</v>
      </c>
    </row>
    <row r="29" ht="15.75" customHeight="1">
      <c r="A29" s="2"/>
      <c r="B29" s="2"/>
    </row>
    <row r="30" ht="15.0" customHeight="1">
      <c r="A30" s="9" t="s">
        <v>132</v>
      </c>
      <c r="B30" s="2"/>
    </row>
    <row r="31" ht="15.0" customHeight="1">
      <c r="A31" s="2" t="s">
        <v>133</v>
      </c>
      <c r="B31" s="18">
        <f>Assumptions!$B$48+Assumptions!$B$47</f>
        <v>380000</v>
      </c>
      <c r="C31" s="18">
        <f t="shared" ref="C31:F31" si="10">B33</f>
        <v>382112</v>
      </c>
      <c r="D31" s="18">
        <f t="shared" si="10"/>
        <v>389206.28</v>
      </c>
      <c r="E31" s="18">
        <f t="shared" si="10"/>
        <v>406606.3084</v>
      </c>
      <c r="F31" s="18">
        <f t="shared" si="10"/>
        <v>434201.2577</v>
      </c>
    </row>
    <row r="32" ht="15.0" customHeight="1">
      <c r="A32" s="2" t="s">
        <v>134</v>
      </c>
      <c r="B32" s="18">
        <f t="shared" ref="B32:F32" si="11">B26</f>
        <v>2112</v>
      </c>
      <c r="C32" s="18">
        <f t="shared" si="11"/>
        <v>7094.28</v>
      </c>
      <c r="D32" s="18">
        <f t="shared" si="11"/>
        <v>17400.0284</v>
      </c>
      <c r="E32" s="18">
        <f t="shared" si="11"/>
        <v>27594.94925</v>
      </c>
      <c r="F32" s="18">
        <f t="shared" si="11"/>
        <v>37675.71773</v>
      </c>
    </row>
    <row r="33" ht="15.0" customHeight="1">
      <c r="A33" s="4" t="s">
        <v>135</v>
      </c>
      <c r="B33" s="20">
        <f t="shared" ref="B33:F33" si="12">B31+B32</f>
        <v>382112</v>
      </c>
      <c r="C33" s="20">
        <f t="shared" si="12"/>
        <v>389206.28</v>
      </c>
      <c r="D33" s="20">
        <f t="shared" si="12"/>
        <v>406606.3084</v>
      </c>
      <c r="E33" s="20">
        <f t="shared" si="12"/>
        <v>434201.2577</v>
      </c>
      <c r="F33" s="20">
        <f t="shared" si="12"/>
        <v>471876.9754</v>
      </c>
    </row>
    <row r="34" ht="15.75" customHeight="1">
      <c r="A34" s="2"/>
      <c r="B34" s="2"/>
    </row>
    <row r="35" ht="15.0" customHeight="1">
      <c r="A35" s="2" t="s">
        <v>136</v>
      </c>
      <c r="B35" s="18">
        <f>1180640*(1.03^0)</f>
        <v>1180640</v>
      </c>
      <c r="C35" s="18">
        <f>1180640*(1.03^1)</f>
        <v>1216059.2</v>
      </c>
      <c r="D35" s="18">
        <f>1180640*(1.03^2)</f>
        <v>1252540.976</v>
      </c>
      <c r="E35" s="18">
        <f>1180640*(1.03^3)</f>
        <v>1290117.205</v>
      </c>
      <c r="F35" s="18">
        <f>1180640*(1.03^4)</f>
        <v>1328820.721</v>
      </c>
    </row>
    <row r="36" ht="15.0" customHeight="1">
      <c r="A36" s="2" t="s">
        <v>137</v>
      </c>
      <c r="B36" s="18">
        <f>Assumptions!$B$50</f>
        <v>826448</v>
      </c>
      <c r="C36" s="18">
        <f>B36-(B36*Assumptions!$B$54/12*12-4692.48*12+B36*Assumptions!$B$54)</f>
        <v>791848.48</v>
      </c>
      <c r="D36" s="18">
        <f>C36-(C36*Assumptions!$B$54/12*12-4692.48*12+C36*Assumptions!$B$54)</f>
        <v>761054.9072</v>
      </c>
      <c r="E36" s="18">
        <f>D36-(D36*Assumptions!$B$54/12*12-4692.48*12+D36*Assumptions!$B$54)</f>
        <v>733648.6274</v>
      </c>
      <c r="F36" s="18">
        <f>E36-(E36*Assumptions!$B$54/12*12-4692.48*12+E36*Assumptions!$B$54)</f>
        <v>709257.0384</v>
      </c>
    </row>
    <row r="37" ht="15.0" customHeight="1">
      <c r="A37" s="4" t="s">
        <v>138</v>
      </c>
      <c r="B37" s="20">
        <f t="shared" ref="B37:F37" si="13">B35-B36</f>
        <v>354192</v>
      </c>
      <c r="C37" s="20">
        <f t="shared" si="13"/>
        <v>424210.72</v>
      </c>
      <c r="D37" s="20">
        <f t="shared" si="13"/>
        <v>491486.0688</v>
      </c>
      <c r="E37" s="20">
        <f t="shared" si="13"/>
        <v>556468.5779</v>
      </c>
      <c r="F37" s="20">
        <f t="shared" si="13"/>
        <v>619563.683</v>
      </c>
    </row>
    <row r="38" ht="15.75" customHeight="1">
      <c r="A38" s="2"/>
      <c r="B38" s="2"/>
    </row>
    <row r="39" ht="17.25" customHeight="1">
      <c r="A39" s="31" t="s">
        <v>139</v>
      </c>
      <c r="B39" s="32">
        <f>B33+B37+Assumptions!$B$49</f>
        <v>886304</v>
      </c>
      <c r="C39" s="32">
        <f>C33+C37+Assumptions!$B$49</f>
        <v>963417</v>
      </c>
      <c r="D39" s="32">
        <f>D33+D37+Assumptions!$B$49</f>
        <v>1048092.377</v>
      </c>
      <c r="E39" s="32">
        <f>E33+E37+Assumptions!$B$49</f>
        <v>1140669.836</v>
      </c>
      <c r="F39" s="32">
        <f>F33+F37+Assumptions!$B$49</f>
        <v>1241440.658</v>
      </c>
    </row>
    <row r="40" ht="15.75" customHeight="1">
      <c r="A40" s="2"/>
      <c r="B40" s="2"/>
    </row>
    <row r="41" ht="15.75" customHeight="1">
      <c r="A41" s="2"/>
      <c r="B41" s="2"/>
    </row>
    <row r="42" ht="15.0" customHeight="1">
      <c r="A42" s="3" t="s">
        <v>140</v>
      </c>
      <c r="B42" s="2"/>
    </row>
    <row r="43" ht="15.0" customHeight="1">
      <c r="A43" s="2" t="s">
        <v>141</v>
      </c>
      <c r="B43" s="2" t="s">
        <v>142</v>
      </c>
      <c r="C43" s="2" t="s">
        <v>39</v>
      </c>
    </row>
    <row r="44" ht="15.0" customHeight="1">
      <c r="A44" s="2" t="s">
        <v>143</v>
      </c>
      <c r="B44" s="5">
        <f>F39</f>
        <v>1241440.658</v>
      </c>
      <c r="C44" s="2" t="s">
        <v>144</v>
      </c>
    </row>
    <row r="45" ht="15.0" customHeight="1">
      <c r="A45" s="2" t="s">
        <v>145</v>
      </c>
      <c r="B45" s="5">
        <f>F39-SUM(F7,E7,D7,C7)*0.75</f>
        <v>1241440.658</v>
      </c>
      <c r="C45" s="2" t="s">
        <v>146</v>
      </c>
    </row>
    <row r="46" ht="15.0" customHeight="1">
      <c r="A46" s="2" t="s">
        <v>147</v>
      </c>
      <c r="B46" s="5">
        <f>F39-(496000-496000*0.8)*5*0.7</f>
        <v>894240.6584</v>
      </c>
      <c r="C46" s="2" t="s">
        <v>148</v>
      </c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9.57"/>
    <col customWidth="1" min="4" max="4" width="8.71"/>
    <col customWidth="1" min="5" max="5" width="10.0"/>
    <col customWidth="1" min="6" max="6" width="12.0"/>
    <col customWidth="1" min="7" max="26" width="8.71"/>
  </cols>
  <sheetData>
    <row r="1" ht="21.75" customHeight="1">
      <c r="A1" s="7" t="s">
        <v>149</v>
      </c>
      <c r="B1" s="2"/>
      <c r="E1" s="2"/>
      <c r="F1" s="2"/>
    </row>
    <row r="2" ht="15.0" customHeight="1">
      <c r="A2" s="2" t="str">
        <f>CONCATENATE("Period: ",TEXT(Config!B6,"MMM DD")," - ",TEXT(Config!B7,"MMM DD"))</f>
        <v>Period: Oct 30 - Jan 28</v>
      </c>
      <c r="B2" s="2"/>
      <c r="E2" s="2"/>
      <c r="F2" s="2"/>
    </row>
    <row r="3">
      <c r="A3" s="2"/>
      <c r="B3" s="2"/>
      <c r="E3" s="2"/>
      <c r="F3" s="2"/>
    </row>
    <row r="4" ht="15.0" customHeight="1">
      <c r="A4" s="33" t="s">
        <v>150</v>
      </c>
      <c r="B4" s="2"/>
      <c r="E4" s="2"/>
      <c r="F4" s="2"/>
    </row>
    <row r="5" ht="15.0" customHeight="1">
      <c r="A5" s="34" t="s">
        <v>22</v>
      </c>
      <c r="B5" s="34" t="s">
        <v>24</v>
      </c>
      <c r="C5" s="34" t="s">
        <v>23</v>
      </c>
      <c r="D5" s="34" t="s">
        <v>25</v>
      </c>
      <c r="E5" s="34" t="s">
        <v>17</v>
      </c>
      <c r="F5" s="34" t="s">
        <v>151</v>
      </c>
    </row>
    <row r="6" ht="15.0" customHeight="1">
      <c r="A6" s="2" t="s">
        <v>26</v>
      </c>
      <c r="B6" s="35">
        <f>Config!B31</f>
        <v>2000</v>
      </c>
      <c r="C6" s="36">
        <f>ABS(SUMIFS('Raw Data'!G3:G10000,'Raw Data'!C3:C10000,A6,'Raw Data'!G3:G10000,"&lt;0",'Raw Data'!A3:A10000,"&gt;="&amp;Config!$B$6,'Raw Data'!A3:A10000,"&lt;="&amp;Config!$B$7,'Raw Data'!J3:J10000,"&lt;&gt;Business",'Raw Data'!J3:J10000,"&lt;&gt;Split-Parent"))/Config!$B$9</f>
        <v>1999.586667</v>
      </c>
      <c r="D6" s="36">
        <f t="shared" ref="D6:D19" si="1">B6-C6</f>
        <v>0.4133333333</v>
      </c>
      <c r="E6" s="2" t="str">
        <f t="shared" ref="E6:E19" si="2">IF(D6&lt;0,"⚠ OVER","✓ OK")</f>
        <v>✓ OK</v>
      </c>
      <c r="F6" s="36">
        <f>C6-(ABS(SUMIFS('Raw Data'!G3:G10000,'Raw Data'!C3:C10000,A6,'Raw Data'!G3:G10000,"&lt;0",'Raw Data'!A3:A10000,"&gt;="&amp;(Config!$B$6-(Config!$B$7-Config!$B$6)),'Raw Data'!A3:A10000,"&lt;"&amp;Config!$B$6,'Raw Data'!J3:J10000,"&lt;&gt;Business",'Raw Data'!J3:J10000,"&lt;&gt;Split-Parent"))/Config!$B$9)</f>
        <v>1999.586667</v>
      </c>
    </row>
    <row r="7" ht="15.0" customHeight="1">
      <c r="A7" s="2" t="s">
        <v>28</v>
      </c>
      <c r="B7" s="35">
        <f>Config!B32</f>
        <v>800</v>
      </c>
      <c r="C7" s="36">
        <f>ABS(SUMIFS('Raw Data'!G3:G10000,'Raw Data'!C3:C10000,A7,'Raw Data'!G3:G10000,"&lt;0",'Raw Data'!A3:A10000,"&gt;="&amp;Config!$B$6,'Raw Data'!A3:A10000,"&lt;="&amp;Config!$B$7,'Raw Data'!J3:J10000,"&lt;&gt;Business",'Raw Data'!J3:J10000,"&lt;&gt;Split-Parent"))/Config!$B$9</f>
        <v>1057.756667</v>
      </c>
      <c r="D7" s="36">
        <f t="shared" si="1"/>
        <v>-257.7566667</v>
      </c>
      <c r="E7" s="2" t="str">
        <f t="shared" si="2"/>
        <v>⚠ OVER</v>
      </c>
      <c r="F7" s="36">
        <f>C7-(ABS(SUMIFS('Raw Data'!G3:G10000,'Raw Data'!C3:C10000,A7,'Raw Data'!G3:G10000,"&lt;0",'Raw Data'!A3:A10000,"&gt;="&amp;(Config!$B$6-(Config!$B$7-Config!$B$6)),'Raw Data'!A3:A10000,"&lt;"&amp;Config!$B$6,'Raw Data'!J3:J10000,"&lt;&gt;Business",'Raw Data'!J3:J10000,"&lt;&gt;Split-Parent"))/Config!$B$9)</f>
        <v>1057.756667</v>
      </c>
    </row>
    <row r="8" ht="15.0" customHeight="1">
      <c r="A8" s="2" t="s">
        <v>27</v>
      </c>
      <c r="B8" s="35">
        <f>Config!B33</f>
        <v>2500</v>
      </c>
      <c r="C8" s="36">
        <f>ABS(SUMIFS('Raw Data'!G3:G10000,'Raw Data'!C3:C10000,A8,'Raw Data'!G3:G10000,"&lt;0",'Raw Data'!A3:A10000,"&gt;="&amp;Config!$B$6,'Raw Data'!A3:A10000,"&lt;="&amp;Config!$B$7,'Raw Data'!J3:J10000,"&lt;&gt;Business",'Raw Data'!J3:J10000,"&lt;&gt;Split-Parent"))/Config!$B$9</f>
        <v>3382.513333</v>
      </c>
      <c r="D8" s="36">
        <f t="shared" si="1"/>
        <v>-882.5133333</v>
      </c>
      <c r="E8" s="2" t="str">
        <f t="shared" si="2"/>
        <v>⚠ OVER</v>
      </c>
      <c r="F8" s="36">
        <f>C8-(ABS(SUMIFS('Raw Data'!G3:G10000,'Raw Data'!C3:C10000,A8,'Raw Data'!G3:G10000,"&lt;0",'Raw Data'!A3:A10000,"&gt;="&amp;(Config!$B$6-(Config!$B$7-Config!$B$6)),'Raw Data'!A3:A10000,"&lt;"&amp;Config!$B$6,'Raw Data'!J3:J10000,"&lt;&gt;Business",'Raw Data'!J3:J10000,"&lt;&gt;Split-Parent"))/Config!$B$9)</f>
        <v>3382.513333</v>
      </c>
    </row>
    <row r="9" ht="15.0" customHeight="1">
      <c r="A9" s="2" t="s">
        <v>152</v>
      </c>
      <c r="B9" s="35">
        <f>Config!B34</f>
        <v>500</v>
      </c>
      <c r="C9" s="36">
        <f>ABS(SUMIFS('Raw Data'!G3:G10000,'Raw Data'!C3:C10000,A9,'Raw Data'!G3:G10000,"&lt;0",'Raw Data'!A3:A10000,"&gt;="&amp;Config!$B$6,'Raw Data'!A3:A10000,"&lt;="&amp;Config!$B$7,'Raw Data'!J3:J10000,"&lt;&gt;Business",'Raw Data'!J3:J10000,"&lt;&gt;Split-Parent"))/Config!$B$9</f>
        <v>481.25</v>
      </c>
      <c r="D9" s="36">
        <f t="shared" si="1"/>
        <v>18.75</v>
      </c>
      <c r="E9" s="2" t="str">
        <f t="shared" si="2"/>
        <v>✓ OK</v>
      </c>
      <c r="F9" s="36">
        <f>C9-(ABS(SUMIFS('Raw Data'!G3:G10000,'Raw Data'!C3:C10000,A9,'Raw Data'!G3:G10000,"&lt;0",'Raw Data'!A3:A10000,"&gt;="&amp;(Config!$B$6-(Config!$B$7-Config!$B$6)),'Raw Data'!A3:A10000,"&lt;"&amp;Config!$B$6,'Raw Data'!J3:J10000,"&lt;&gt;Business",'Raw Data'!J3:J10000,"&lt;&gt;Split-Parent"))/Config!$B$9)</f>
        <v>481.25</v>
      </c>
    </row>
    <row r="10" ht="15.0" customHeight="1">
      <c r="A10" s="2" t="s">
        <v>153</v>
      </c>
      <c r="B10" s="35">
        <f>Config!B35</f>
        <v>450</v>
      </c>
      <c r="C10" s="36">
        <f>ABS(SUMIFS('Raw Data'!G3:G10000,'Raw Data'!C3:C10000,A10,'Raw Data'!G3:G10000,"&lt;0",'Raw Data'!A3:A10000,"&gt;="&amp;Config!$B$6,'Raw Data'!A3:A10000,"&lt;="&amp;Config!$B$7,'Raw Data'!J3:J10000,"&lt;&gt;Business",'Raw Data'!J3:J10000,"&lt;&gt;Split-Parent"))/Config!$B$9</f>
        <v>462.83</v>
      </c>
      <c r="D10" s="36">
        <f t="shared" si="1"/>
        <v>-12.83</v>
      </c>
      <c r="E10" s="2" t="str">
        <f t="shared" si="2"/>
        <v>⚠ OVER</v>
      </c>
      <c r="F10" s="36">
        <f>C10-(ABS(SUMIFS('Raw Data'!G3:G10000,'Raw Data'!C3:C10000,A10,'Raw Data'!G3:G10000,"&lt;0",'Raw Data'!A3:A10000,"&gt;="&amp;(Config!$B$6-(Config!$B$7-Config!$B$6)),'Raw Data'!A3:A10000,"&lt;"&amp;Config!$B$6,'Raw Data'!J3:J10000,"&lt;&gt;Business",'Raw Data'!J3:J10000,"&lt;&gt;Split-Parent"))/Config!$B$9)</f>
        <v>462.83</v>
      </c>
    </row>
    <row r="11" ht="15.0" customHeight="1">
      <c r="A11" s="2" t="s">
        <v>154</v>
      </c>
      <c r="B11" s="35">
        <f>Config!B36</f>
        <v>400</v>
      </c>
      <c r="C11" s="36">
        <f>ABS(SUMIFS('Raw Data'!G3:G10000,'Raw Data'!C3:C10000,A11,'Raw Data'!G3:G10000,"&lt;0",'Raw Data'!A3:A10000,"&gt;="&amp;Config!$B$6,'Raw Data'!A3:A10000,"&lt;="&amp;Config!$B$7,'Raw Data'!J3:J10000,"&lt;&gt;Business",'Raw Data'!J3:J10000,"&lt;&gt;Split-Parent"))/Config!$B$9</f>
        <v>579.7633333</v>
      </c>
      <c r="D11" s="36">
        <f t="shared" si="1"/>
        <v>-179.7633333</v>
      </c>
      <c r="E11" s="2" t="str">
        <f t="shared" si="2"/>
        <v>⚠ OVER</v>
      </c>
      <c r="F11" s="36">
        <f>C11-(ABS(SUMIFS('Raw Data'!G3:G10000,'Raw Data'!C3:C10000,A11,'Raw Data'!G3:G10000,"&lt;0",'Raw Data'!A3:A10000,"&gt;="&amp;(Config!$B$6-(Config!$B$7-Config!$B$6)),'Raw Data'!A3:A10000,"&lt;"&amp;Config!$B$6,'Raw Data'!J3:J10000,"&lt;&gt;Business",'Raw Data'!J3:J10000,"&lt;&gt;Split-Parent"))/Config!$B$9)</f>
        <v>579.7633333</v>
      </c>
    </row>
    <row r="12" ht="15.0" customHeight="1">
      <c r="A12" s="2" t="s">
        <v>155</v>
      </c>
      <c r="B12" s="35">
        <f>Config!B37</f>
        <v>300</v>
      </c>
      <c r="C12" s="36">
        <f>ABS(SUMIFS('Raw Data'!G3:G10000,'Raw Data'!C3:C10000,A12,'Raw Data'!G3:G10000,"&lt;0",'Raw Data'!A3:A10000,"&gt;="&amp;Config!$B$6,'Raw Data'!A3:A10000,"&lt;="&amp;Config!$B$7,'Raw Data'!J3:J10000,"&lt;&gt;Business",'Raw Data'!J3:J10000,"&lt;&gt;Split-Parent"))/Config!$B$9</f>
        <v>263.5933333</v>
      </c>
      <c r="D12" s="36">
        <f t="shared" si="1"/>
        <v>36.40666667</v>
      </c>
      <c r="E12" s="2" t="str">
        <f t="shared" si="2"/>
        <v>✓ OK</v>
      </c>
      <c r="F12" s="36">
        <f>C12-(ABS(SUMIFS('Raw Data'!G3:G10000,'Raw Data'!C3:C10000,A12,'Raw Data'!G3:G10000,"&lt;0",'Raw Data'!A3:A10000,"&gt;="&amp;(Config!$B$6-(Config!$B$7-Config!$B$6)),'Raw Data'!A3:A10000,"&lt;"&amp;Config!$B$6,'Raw Data'!J3:J10000,"&lt;&gt;Business",'Raw Data'!J3:J10000,"&lt;&gt;Split-Parent"))/Config!$B$9)</f>
        <v>263.5933333</v>
      </c>
    </row>
    <row r="13" ht="15.0" customHeight="1">
      <c r="A13" s="2" t="s">
        <v>156</v>
      </c>
      <c r="B13" s="35">
        <f>Config!B38</f>
        <v>500</v>
      </c>
      <c r="C13" s="36">
        <f>ABS(SUMIFS('Raw Data'!G3:G10000,'Raw Data'!C3:C10000,A13,'Raw Data'!G3:G10000,"&lt;0",'Raw Data'!A3:A10000,"&gt;="&amp;Config!$B$6,'Raw Data'!A3:A10000,"&lt;="&amp;Config!$B$7,'Raw Data'!J3:J10000,"&lt;&gt;Business",'Raw Data'!J3:J10000,"&lt;&gt;Split-Parent"))/Config!$B$9</f>
        <v>595</v>
      </c>
      <c r="D13" s="36">
        <f t="shared" si="1"/>
        <v>-95</v>
      </c>
      <c r="E13" s="2" t="str">
        <f t="shared" si="2"/>
        <v>⚠ OVER</v>
      </c>
      <c r="F13" s="36">
        <f>C13-(ABS(SUMIFS('Raw Data'!G3:G10000,'Raw Data'!C3:C10000,A13,'Raw Data'!G3:G10000,"&lt;0",'Raw Data'!A3:A10000,"&gt;="&amp;(Config!$B$6-(Config!$B$7-Config!$B$6)),'Raw Data'!A3:A10000,"&lt;"&amp;Config!$B$6,'Raw Data'!J3:J10000,"&lt;&gt;Business",'Raw Data'!J3:J10000,"&lt;&gt;Split-Parent"))/Config!$B$9)</f>
        <v>595</v>
      </c>
    </row>
    <row r="14" ht="15.0" customHeight="1">
      <c r="A14" s="2" t="s">
        <v>157</v>
      </c>
      <c r="B14" s="35">
        <f>Config!B39</f>
        <v>500</v>
      </c>
      <c r="C14" s="36">
        <f>ABS(SUMIFS('Raw Data'!G3:G10000,'Raw Data'!C3:C10000,A14,'Raw Data'!G3:G10000,"&lt;0",'Raw Data'!A3:A10000,"&gt;="&amp;Config!$B$6,'Raw Data'!A3:A10000,"&lt;="&amp;Config!$B$7,'Raw Data'!J3:J10000,"&lt;&gt;Business",'Raw Data'!J3:J10000,"&lt;&gt;Split-Parent"))/Config!$B$9</f>
        <v>8630.703333</v>
      </c>
      <c r="D14" s="36">
        <f t="shared" si="1"/>
        <v>-8130.703333</v>
      </c>
      <c r="E14" s="2" t="str">
        <f t="shared" si="2"/>
        <v>⚠ OVER</v>
      </c>
      <c r="F14" s="36">
        <f>C14-(ABS(SUMIFS('Raw Data'!G3:G10000,'Raw Data'!C3:C10000,A14,'Raw Data'!G3:G10000,"&lt;0",'Raw Data'!A3:A10000,"&gt;="&amp;(Config!$B$6-(Config!$B$7-Config!$B$6)),'Raw Data'!A3:A10000,"&lt;"&amp;Config!$B$6,'Raw Data'!J3:J10000,"&lt;&gt;Business",'Raw Data'!J3:J10000,"&lt;&gt;Split-Parent"))/Config!$B$9)</f>
        <v>8630.703333</v>
      </c>
    </row>
    <row r="15" ht="15.0" customHeight="1">
      <c r="A15" s="2" t="s">
        <v>158</v>
      </c>
      <c r="B15" s="35">
        <f>Config!B40</f>
        <v>500</v>
      </c>
      <c r="C15" s="36">
        <f>ABS(SUMIFS('Raw Data'!G3:G10000,'Raw Data'!C3:C10000,A15,'Raw Data'!G3:G10000,"&lt;0",'Raw Data'!A3:A10000,"&gt;="&amp;Config!$B$6,'Raw Data'!A3:A10000,"&lt;="&amp;Config!$B$7,'Raw Data'!J3:J10000,"&lt;&gt;Business",'Raw Data'!J3:J10000,"&lt;&gt;Split-Parent"))/Config!$B$9</f>
        <v>494</v>
      </c>
      <c r="D15" s="36">
        <f t="shared" si="1"/>
        <v>6</v>
      </c>
      <c r="E15" s="2" t="str">
        <f t="shared" si="2"/>
        <v>✓ OK</v>
      </c>
      <c r="F15" s="36">
        <f>C15-(ABS(SUMIFS('Raw Data'!G3:G10000,'Raw Data'!C3:C10000,A15,'Raw Data'!G3:G10000,"&lt;0",'Raw Data'!A3:A10000,"&gt;="&amp;(Config!$B$6-(Config!$B$7-Config!$B$6)),'Raw Data'!A3:A10000,"&lt;"&amp;Config!$B$6,'Raw Data'!J3:J10000,"&lt;&gt;Business",'Raw Data'!J3:J10000,"&lt;&gt;Split-Parent"))/Config!$B$9)</f>
        <v>494</v>
      </c>
    </row>
    <row r="16" ht="15.0" customHeight="1">
      <c r="A16" s="2" t="s">
        <v>159</v>
      </c>
      <c r="B16" s="35">
        <f>Config!B41</f>
        <v>175</v>
      </c>
      <c r="C16" s="36">
        <f>ABS(SUMIFS('Raw Data'!G3:G10000,'Raw Data'!C3:C10000,A16,'Raw Data'!G3:G10000,"&lt;0",'Raw Data'!A3:A10000,"&gt;="&amp;Config!$B$6,'Raw Data'!A3:A10000,"&lt;="&amp;Config!$B$7,'Raw Data'!J3:J10000,"&lt;&gt;Business",'Raw Data'!J3:J10000,"&lt;&gt;Split-Parent"))/Config!$B$9</f>
        <v>173.02</v>
      </c>
      <c r="D16" s="36">
        <f t="shared" si="1"/>
        <v>1.98</v>
      </c>
      <c r="E16" s="2" t="str">
        <f t="shared" si="2"/>
        <v>✓ OK</v>
      </c>
      <c r="F16" s="36">
        <f>C16-(ABS(SUMIFS('Raw Data'!G3:G10000,'Raw Data'!C3:C10000,A16,'Raw Data'!G3:G10000,"&lt;0",'Raw Data'!A3:A10000,"&gt;="&amp;(Config!$B$6-(Config!$B$7-Config!$B$6)),'Raw Data'!A3:A10000,"&lt;"&amp;Config!$B$6,'Raw Data'!J3:J10000,"&lt;&gt;Business",'Raw Data'!J3:J10000,"&lt;&gt;Split-Parent"))/Config!$B$9)</f>
        <v>173.02</v>
      </c>
    </row>
    <row r="17" ht="15.0" customHeight="1">
      <c r="A17" s="2" t="s">
        <v>160</v>
      </c>
      <c r="B17" s="35">
        <f>Config!B42</f>
        <v>250</v>
      </c>
      <c r="C17" s="36">
        <f>ABS(SUMIFS('Raw Data'!G3:G10000,'Raw Data'!C3:C10000,A17,'Raw Data'!G3:G10000,"&lt;0",'Raw Data'!A3:A10000,"&gt;="&amp;Config!$B$6,'Raw Data'!A3:A10000,"&lt;="&amp;Config!$B$7,'Raw Data'!J3:J10000,"&lt;&gt;Business",'Raw Data'!J3:J10000,"&lt;&gt;Split-Parent"))/Config!$B$9</f>
        <v>78.18666667</v>
      </c>
      <c r="D17" s="36">
        <f t="shared" si="1"/>
        <v>171.8133333</v>
      </c>
      <c r="E17" s="2" t="str">
        <f t="shared" si="2"/>
        <v>✓ OK</v>
      </c>
      <c r="F17" s="36">
        <f>C17-(ABS(SUMIFS('Raw Data'!G3:G10000,'Raw Data'!C3:C10000,A17,'Raw Data'!G3:G10000,"&lt;0",'Raw Data'!A3:A10000,"&gt;="&amp;(Config!$B$6-(Config!$B$7-Config!$B$6)),'Raw Data'!A3:A10000,"&lt;"&amp;Config!$B$6,'Raw Data'!J3:J10000,"&lt;&gt;Business",'Raw Data'!J3:J10000,"&lt;&gt;Split-Parent"))/Config!$B$9)</f>
        <v>78.18666667</v>
      </c>
    </row>
    <row r="18" ht="15.0" customHeight="1">
      <c r="A18" s="2" t="s">
        <v>161</v>
      </c>
      <c r="B18" s="35">
        <f>Config!B43</f>
        <v>100</v>
      </c>
      <c r="C18" s="36">
        <f>ABS(SUMIFS('Raw Data'!G3:G10000,'Raw Data'!C3:C10000,A18,'Raw Data'!G3:G10000,"&lt;0",'Raw Data'!A3:A10000,"&gt;="&amp;Config!$B$6,'Raw Data'!A3:A10000,"&lt;="&amp;Config!$B$7,'Raw Data'!J3:J10000,"&lt;&gt;Business",'Raw Data'!J3:J10000,"&lt;&gt;Split-Parent"))/Config!$B$9</f>
        <v>7.286666667</v>
      </c>
      <c r="D18" s="36">
        <f t="shared" si="1"/>
        <v>92.71333333</v>
      </c>
      <c r="E18" s="2" t="str">
        <f t="shared" si="2"/>
        <v>✓ OK</v>
      </c>
      <c r="F18" s="36">
        <f>C18-(ABS(SUMIFS('Raw Data'!G3:G10000,'Raw Data'!C3:C10000,A18,'Raw Data'!G3:G10000,"&lt;0",'Raw Data'!A3:A10000,"&gt;="&amp;(Config!$B$6-(Config!$B$7-Config!$B$6)),'Raw Data'!A3:A10000,"&lt;"&amp;Config!$B$6,'Raw Data'!J3:J10000,"&lt;&gt;Business",'Raw Data'!J3:J10000,"&lt;&gt;Split-Parent"))/Config!$B$9)</f>
        <v>7.286666667</v>
      </c>
    </row>
    <row r="19" ht="15.0" customHeight="1">
      <c r="A19" s="2" t="s">
        <v>162</v>
      </c>
      <c r="B19" s="35">
        <f>Config!B44</f>
        <v>150</v>
      </c>
      <c r="C19" s="36">
        <f>ABS(SUMIFS('Raw Data'!G3:G10000,'Raw Data'!C3:C10000,A19,'Raw Data'!G3:G10000,"&lt;0",'Raw Data'!A3:A10000,"&gt;="&amp;Config!$B$6,'Raw Data'!A3:A10000,"&lt;="&amp;Config!$B$7,'Raw Data'!J3:J10000,"&lt;&gt;Business",'Raw Data'!J3:J10000,"&lt;&gt;Split-Parent"))/Config!$B$9</f>
        <v>135.45</v>
      </c>
      <c r="D19" s="36">
        <f t="shared" si="1"/>
        <v>14.55</v>
      </c>
      <c r="E19" s="2" t="str">
        <f t="shared" si="2"/>
        <v>✓ OK</v>
      </c>
      <c r="F19" s="36">
        <f>C19-(ABS(SUMIFS('Raw Data'!G3:G10000,'Raw Data'!C3:C10000,A19,'Raw Data'!G3:G10000,"&lt;0",'Raw Data'!A3:A10000,"&gt;="&amp;(Config!$B$6-(Config!$B$7-Config!$B$6)),'Raw Data'!A3:A10000,"&lt;"&amp;Config!$B$6,'Raw Data'!J3:J10000,"&lt;&gt;Business",'Raw Data'!J3:J10000,"&lt;&gt;Split-Parent"))/Config!$B$9)</f>
        <v>135.45</v>
      </c>
    </row>
    <row r="20">
      <c r="A20" s="2"/>
      <c r="B20" s="2"/>
      <c r="E20" s="2"/>
      <c r="F20" s="2"/>
    </row>
    <row r="21" ht="15.75" customHeight="1">
      <c r="A21" s="2"/>
      <c r="B21" s="2"/>
      <c r="E21" s="2"/>
      <c r="F21" s="2"/>
    </row>
    <row r="22" ht="15.0" customHeight="1">
      <c r="A22" s="33" t="s">
        <v>163</v>
      </c>
      <c r="B22" s="2"/>
      <c r="E22" s="2"/>
      <c r="F22" s="2"/>
    </row>
    <row r="23" ht="15.0" customHeight="1">
      <c r="A23" s="34" t="s">
        <v>22</v>
      </c>
      <c r="B23" s="34" t="s">
        <v>24</v>
      </c>
      <c r="C23" s="34" t="s">
        <v>23</v>
      </c>
      <c r="D23" s="34" t="s">
        <v>25</v>
      </c>
      <c r="E23" s="34" t="s">
        <v>17</v>
      </c>
      <c r="F23" s="34" t="s">
        <v>151</v>
      </c>
    </row>
    <row r="24" ht="15.0" customHeight="1">
      <c r="A24" s="2" t="s">
        <v>164</v>
      </c>
      <c r="B24" s="35">
        <f>Config!E31</f>
        <v>1000</v>
      </c>
      <c r="C24" s="36">
        <f>ABS(SUMIFS('Raw Data'!G3:G10000,'Raw Data'!B3:B10000,"*"&amp;A24&amp;"*",'Raw Data'!G3:G10000,"&lt;0",'Raw Data'!A3:A10000,"&gt;="&amp;Config!$B$6,'Raw Data'!A3:A10000,"&lt;="&amp;Config!$B$7,'Raw Data'!J3:J10000,"&lt;&gt;Business",'Raw Data'!J3:J10000,"&lt;&gt;Split-Parent"))/Config!$B$9</f>
        <v>1404.536667</v>
      </c>
      <c r="D24" s="36">
        <f t="shared" ref="D24:D27" si="3">B24-C24</f>
        <v>-404.5366667</v>
      </c>
      <c r="E24" s="2" t="str">
        <f t="shared" ref="E24:E27" si="4">IF(D24&lt;0,"⚠ OVER","✓ OK")</f>
        <v>⚠ OVER</v>
      </c>
      <c r="F24" s="36">
        <f>C24-(ABS(SUMIFS('Raw Data'!G3:G10000,'Raw Data'!B3:B10000,"*"&amp;A24&amp;"*",'Raw Data'!G3:G10000,"&lt;0",'Raw Data'!A3:A10000,"&gt;="&amp;(Config!$B$6-(Config!$B$7-Config!$B$6)),'Raw Data'!A3:A10000,"&lt;"&amp;Config!$B$6,'Raw Data'!J3:J10000,"&lt;&gt;Business",'Raw Data'!J3:J10000,"&lt;&gt;Split-Parent"))/Config!$B$9)</f>
        <v>1404.536667</v>
      </c>
    </row>
    <row r="25" ht="15.0" customHeight="1">
      <c r="A25" s="2" t="s">
        <v>165</v>
      </c>
      <c r="B25" s="35">
        <f>Config!E32</f>
        <v>300</v>
      </c>
      <c r="C25" s="36">
        <f>ABS(SUMIFS('Raw Data'!G3:G10000,'Raw Data'!B3:B10000,"*"&amp;A25&amp;"*",'Raw Data'!G3:G10000,"&lt;0",'Raw Data'!A3:A10000,"&gt;="&amp;Config!$B$6,'Raw Data'!A3:A10000,"&lt;="&amp;Config!$B$7,'Raw Data'!J3:J10000,"&lt;&gt;Business",'Raw Data'!J3:J10000,"&lt;&gt;Split-Parent"))/Config!$B$9</f>
        <v>459.7833333</v>
      </c>
      <c r="D25" s="36">
        <f t="shared" si="3"/>
        <v>-159.7833333</v>
      </c>
      <c r="E25" s="2" t="str">
        <f t="shared" si="4"/>
        <v>⚠ OVER</v>
      </c>
      <c r="F25" s="36">
        <f>C25-(ABS(SUMIFS('Raw Data'!G3:G10000,'Raw Data'!B3:B10000,"*"&amp;A25&amp;"*",'Raw Data'!G3:G10000,"&lt;0",'Raw Data'!A3:A10000,"&gt;="&amp;(Config!$B$6-(Config!$B$7-Config!$B$6)),'Raw Data'!A3:A10000,"&lt;"&amp;Config!$B$6,'Raw Data'!J3:J10000,"&lt;&gt;Business",'Raw Data'!J3:J10000,"&lt;&gt;Split-Parent"))/Config!$B$9)</f>
        <v>459.7833333</v>
      </c>
    </row>
    <row r="26" ht="15.0" customHeight="1">
      <c r="A26" s="2" t="s">
        <v>91</v>
      </c>
      <c r="B26" s="35">
        <f>Config!E33</f>
        <v>400</v>
      </c>
      <c r="C26" s="36">
        <f>ABS(SUMIFS('Raw Data'!G3:G10000,'Raw Data'!B3:B10000,"*"&amp;A26&amp;"*",'Raw Data'!G3:G10000,"&lt;0",'Raw Data'!A3:A10000,"&gt;="&amp;Config!$B$6,'Raw Data'!A3:A10000,"&lt;="&amp;Config!$B$7,'Raw Data'!J3:J10000,"&lt;&gt;Business",'Raw Data'!J3:J10000,"&lt;&gt;Split-Parent"))/Config!$B$9</f>
        <v>744.8233333</v>
      </c>
      <c r="D26" s="36">
        <f t="shared" si="3"/>
        <v>-344.8233333</v>
      </c>
      <c r="E26" s="2" t="str">
        <f t="shared" si="4"/>
        <v>⚠ OVER</v>
      </c>
      <c r="F26" s="36">
        <f>C26-(ABS(SUMIFS('Raw Data'!G3:G10000,'Raw Data'!B3:B10000,"*"&amp;A26&amp;"*",'Raw Data'!G3:G10000,"&lt;0",'Raw Data'!A3:A10000,"&gt;="&amp;(Config!$B$6-(Config!$B$7-Config!$B$6)),'Raw Data'!A3:A10000,"&lt;"&amp;Config!$B$6,'Raw Data'!J3:J10000,"&lt;&gt;Business",'Raw Data'!J3:J10000,"&lt;&gt;Split-Parent"))/Config!$B$9)</f>
        <v>744.8233333</v>
      </c>
    </row>
    <row r="27" ht="15.0" customHeight="1">
      <c r="A27" s="2" t="s">
        <v>166</v>
      </c>
      <c r="B27" s="35">
        <f>Config!E34</f>
        <v>1200</v>
      </c>
      <c r="C27" s="36">
        <f>ABS(SUMIFS('Raw Data'!G3:G10000,'Raw Data'!B3:B10000,"*"&amp;A27&amp;"*",'Raw Data'!G3:G10000,"&lt;0",'Raw Data'!A3:A10000,"&gt;="&amp;Config!$B$6,'Raw Data'!A3:A10000,"&lt;="&amp;Config!$B$7,'Raw Data'!J3:J10000,"&lt;&gt;Business",'Raw Data'!J3:J10000,"&lt;&gt;Split-Parent"))/Config!$B$9</f>
        <v>1150.24</v>
      </c>
      <c r="D27" s="36">
        <f t="shared" si="3"/>
        <v>49.76</v>
      </c>
      <c r="E27" s="2" t="str">
        <f t="shared" si="4"/>
        <v>✓ OK</v>
      </c>
      <c r="F27" s="36">
        <f>C27-(ABS(SUMIFS('Raw Data'!G3:G10000,'Raw Data'!B3:B10000,"*"&amp;A27&amp;"*",'Raw Data'!G3:G10000,"&lt;0",'Raw Data'!A3:A10000,"&gt;="&amp;(Config!$B$6-(Config!$B$7-Config!$B$6)),'Raw Data'!A3:A10000,"&lt;"&amp;Config!$B$6,'Raw Data'!J3:J10000,"&lt;&gt;Business",'Raw Data'!J3:J10000,"&lt;&gt;Split-Parent"))/Config!$B$9)</f>
        <v>1150.24</v>
      </c>
    </row>
    <row r="28" ht="15.75" customHeight="1">
      <c r="A28" s="2"/>
      <c r="B28" s="2"/>
      <c r="E28" s="2"/>
      <c r="F28" s="2"/>
    </row>
    <row r="29" ht="15.75" customHeight="1">
      <c r="A29" s="2"/>
      <c r="B29" s="2"/>
      <c r="E29" s="2"/>
      <c r="F29" s="2"/>
    </row>
    <row r="30" ht="15.0" customHeight="1">
      <c r="A30" s="4" t="s">
        <v>167</v>
      </c>
      <c r="B30" s="2"/>
      <c r="E30" s="2"/>
      <c r="F30" s="2"/>
    </row>
    <row r="31" ht="15.0" customHeight="1">
      <c r="A31" s="2" t="s">
        <v>164</v>
      </c>
      <c r="B31" s="2" t="s">
        <v>168</v>
      </c>
      <c r="C31" s="2">
        <f>COUNTIFS('Raw Data'!B3:B10000,"*Amazon*",'Raw Data'!G3:G10000,"&lt;0",'Raw Data'!A3:A10000,"&gt;="&amp;Config!B6,'Raw Data'!A3:A10000,"&lt;="&amp;Config!B7,'Raw Data'!J3:J10000,"")</f>
        <v>123</v>
      </c>
      <c r="D31" s="2" t="s">
        <v>169</v>
      </c>
      <c r="E31" s="37">
        <f>ABS(SUMIFS('Raw Data'!G3:G10000,'Raw Data'!B3:B10000,"*Amazon*",'Raw Data'!G3:G10000,"&lt;0",'Raw Data'!A3:A10000,"&gt;="&amp;Config!B6,'Raw Data'!A3:A10000,"&lt;="&amp;Config!B7,'Raw Data'!J3:J10000,""))/MAX(1,C31)</f>
        <v>34.25699187</v>
      </c>
      <c r="F31" s="2"/>
    </row>
    <row r="32" ht="15.75" customHeight="1">
      <c r="A32" s="2"/>
      <c r="B32" s="2"/>
      <c r="E32" s="2"/>
      <c r="F32" s="2"/>
    </row>
    <row r="33" ht="15.0" customHeight="1">
      <c r="A33" s="2" t="s">
        <v>170</v>
      </c>
      <c r="B33" s="2"/>
      <c r="E33" s="2"/>
      <c r="F33" s="2"/>
    </row>
    <row r="34" ht="15.0" customHeight="1">
      <c r="A34" s="2" t="s">
        <v>166</v>
      </c>
      <c r="B34" s="5">
        <f>ABS(SUMIFS('Raw Data'!G3:G10000,'Raw Data'!B3:B10000,"*Publix*",'Raw Data'!C3:C10000,"Groceries",'Raw Data'!G3:G10000,"&lt;0",'Raw Data'!A3:A10000,"&gt;="&amp;Config!B6,'Raw Data'!A3:A10000,"&lt;="&amp;Config!B7,'Raw Data'!J3:J10000,""))</f>
        <v>3418.7</v>
      </c>
      <c r="E34" s="2"/>
      <c r="F34" s="2"/>
    </row>
    <row r="35" ht="15.0" customHeight="1">
      <c r="A35" s="2" t="s">
        <v>171</v>
      </c>
      <c r="B35" s="5">
        <f>ABS(SUMIFS('Raw Data'!G3:G10000,'Raw Data'!B3:B10000,"*Kroger*",'Raw Data'!C3:C10000,"Groceries",'Raw Data'!G3:G10000,"&lt;0",'Raw Data'!A3:A10000,"&gt;="&amp;Config!B6,'Raw Data'!A3:A10000,"&lt;="&amp;Config!B7,'Raw Data'!J3:J10000,""))</f>
        <v>1199.12</v>
      </c>
      <c r="E35" s="2"/>
      <c r="F35" s="2"/>
    </row>
    <row r="36" ht="15.0" customHeight="1">
      <c r="A36" s="2" t="s">
        <v>172</v>
      </c>
      <c r="B36" s="5">
        <f>ABS(SUMIFS('Raw Data'!G3:G10000,'Raw Data'!B3:B10000,"*Sprouts*",'Raw Data'!C3:C10000,"Groceries",'Raw Data'!G3:G10000,"&lt;0",'Raw Data'!A3:A10000,"&gt;="&amp;Config!B6,'Raw Data'!A3:A10000,"&lt;="&amp;Config!B7,'Raw Data'!J3:J10000,""))</f>
        <v>368.08</v>
      </c>
      <c r="E36" s="2"/>
      <c r="F36" s="2"/>
    </row>
    <row r="37" ht="15.0" customHeight="1">
      <c r="A37" s="2" t="s">
        <v>173</v>
      </c>
      <c r="B37" s="5">
        <f>ABS(SUMIFS('Raw Data'!G3:G10000,'Raw Data'!B3:B10000,"*Costco*",'Raw Data'!C3:C10000,"Groceries",'Raw Data'!G3:G10000,"&lt;0",'Raw Data'!A3:A10000,"&gt;="&amp;Config!B6,'Raw Data'!A3:A10000,"&lt;="&amp;Config!B7,'Raw Data'!J3:J10000,""))</f>
        <v>0</v>
      </c>
      <c r="E37" s="2"/>
      <c r="F37" s="2"/>
    </row>
    <row r="38" ht="15.75" customHeight="1">
      <c r="A38" s="2"/>
      <c r="B38" s="2"/>
      <c r="E38" s="2"/>
      <c r="F38" s="2"/>
    </row>
    <row r="39" ht="15.75" customHeight="1">
      <c r="A39" s="2"/>
      <c r="B39" s="2"/>
      <c r="E39" s="2"/>
      <c r="F39" s="2"/>
    </row>
    <row r="40" ht="15.75" customHeight="1">
      <c r="A40" s="2"/>
      <c r="B40" s="2"/>
      <c r="E40" s="2"/>
      <c r="F40" s="2"/>
    </row>
    <row r="41" ht="15.75" customHeight="1">
      <c r="A41" s="2"/>
      <c r="B41" s="2"/>
      <c r="E41" s="2"/>
      <c r="F41" s="2"/>
    </row>
    <row r="42" ht="15.75" customHeight="1">
      <c r="A42" s="2"/>
      <c r="B42" s="2"/>
      <c r="E42" s="2"/>
      <c r="F42" s="2"/>
    </row>
    <row r="43" ht="15.75" customHeight="1">
      <c r="A43" s="2"/>
      <c r="B43" s="2"/>
      <c r="E43" s="2"/>
      <c r="F43" s="2"/>
    </row>
    <row r="44" ht="15.75" customHeight="1">
      <c r="A44" s="2"/>
      <c r="B44" s="2"/>
      <c r="E44" s="2"/>
      <c r="F44" s="2"/>
    </row>
    <row r="45" ht="15.75" customHeight="1">
      <c r="A45" s="2"/>
      <c r="B45" s="2"/>
      <c r="E45" s="2"/>
      <c r="F45" s="2"/>
    </row>
    <row r="46" ht="15.75" customHeight="1">
      <c r="A46" s="2"/>
      <c r="B46" s="2"/>
      <c r="E46" s="2"/>
      <c r="F46" s="2"/>
    </row>
    <row r="47" ht="15.75" customHeight="1">
      <c r="A47" s="2"/>
      <c r="B47" s="2"/>
      <c r="E47" s="2"/>
      <c r="F47" s="2"/>
    </row>
    <row r="48" ht="15.75" customHeight="1">
      <c r="A48" s="2"/>
      <c r="B48" s="2"/>
      <c r="E48" s="2"/>
      <c r="F48" s="2"/>
    </row>
    <row r="49" ht="15.75" customHeight="1">
      <c r="A49" s="2"/>
      <c r="B49" s="2"/>
      <c r="E49" s="2"/>
      <c r="F49" s="2"/>
    </row>
    <row r="50" ht="15.75" customHeight="1">
      <c r="A50" s="2"/>
      <c r="B50" s="2"/>
      <c r="E50" s="2"/>
      <c r="F50" s="2"/>
    </row>
    <row r="51" ht="15.75" customHeight="1">
      <c r="A51" s="2"/>
      <c r="B51" s="2"/>
      <c r="E51" s="2"/>
      <c r="F51" s="2"/>
    </row>
    <row r="52" ht="15.75" customHeight="1">
      <c r="A52" s="2"/>
      <c r="B52" s="2"/>
      <c r="E52" s="2"/>
      <c r="F52" s="2"/>
    </row>
    <row r="53" ht="15.75" customHeight="1">
      <c r="A53" s="2"/>
      <c r="B53" s="2"/>
      <c r="E53" s="2"/>
      <c r="F53" s="2"/>
    </row>
    <row r="54" ht="15.75" customHeight="1">
      <c r="A54" s="2"/>
      <c r="B54" s="2"/>
      <c r="E54" s="2"/>
      <c r="F54" s="2"/>
    </row>
    <row r="55" ht="15.75" customHeight="1">
      <c r="A55" s="2"/>
      <c r="B55" s="2"/>
      <c r="E55" s="2"/>
      <c r="F55" s="2"/>
    </row>
    <row r="56" ht="15.75" customHeight="1">
      <c r="A56" s="2"/>
      <c r="B56" s="2"/>
      <c r="E56" s="2"/>
      <c r="F56" s="2"/>
    </row>
    <row r="57" ht="15.75" customHeight="1">
      <c r="A57" s="2"/>
      <c r="B57" s="2"/>
      <c r="E57" s="2"/>
      <c r="F57" s="2"/>
    </row>
    <row r="58" ht="15.75" customHeight="1">
      <c r="A58" s="2"/>
      <c r="B58" s="2"/>
      <c r="E58" s="2"/>
      <c r="F58" s="2"/>
    </row>
    <row r="59" ht="15.75" customHeight="1">
      <c r="A59" s="2"/>
      <c r="B59" s="2"/>
      <c r="E59" s="2"/>
      <c r="F59" s="2"/>
    </row>
    <row r="60" ht="15.75" customHeight="1">
      <c r="A60" s="2"/>
      <c r="B60" s="2"/>
      <c r="E60" s="2"/>
      <c r="F60" s="2"/>
    </row>
    <row r="61" ht="15.75" customHeight="1">
      <c r="A61" s="2"/>
      <c r="B61" s="2"/>
      <c r="E61" s="2"/>
      <c r="F61" s="2"/>
    </row>
    <row r="62" ht="15.75" customHeight="1">
      <c r="A62" s="2"/>
      <c r="B62" s="2"/>
      <c r="E62" s="2"/>
      <c r="F62" s="2"/>
    </row>
    <row r="63" ht="15.75" customHeight="1">
      <c r="A63" s="2"/>
      <c r="B63" s="2"/>
      <c r="E63" s="2"/>
      <c r="F63" s="2"/>
    </row>
    <row r="64" ht="15.75" customHeight="1">
      <c r="A64" s="2"/>
      <c r="B64" s="2"/>
      <c r="E64" s="2"/>
      <c r="F64" s="2"/>
    </row>
    <row r="65" ht="15.75" customHeight="1">
      <c r="A65" s="2"/>
      <c r="B65" s="2"/>
      <c r="E65" s="2"/>
      <c r="F65" s="2"/>
    </row>
    <row r="66" ht="15.75" customHeight="1">
      <c r="A66" s="2"/>
      <c r="B66" s="2"/>
      <c r="E66" s="2"/>
      <c r="F66" s="2"/>
    </row>
    <row r="67" ht="15.75" customHeight="1">
      <c r="A67" s="2"/>
      <c r="B67" s="2"/>
      <c r="E67" s="2"/>
      <c r="F67" s="2"/>
    </row>
    <row r="68" ht="15.75" customHeight="1">
      <c r="A68" s="2"/>
      <c r="B68" s="2"/>
      <c r="E68" s="2"/>
      <c r="F68" s="2"/>
    </row>
    <row r="69" ht="15.75" customHeight="1">
      <c r="A69" s="2"/>
      <c r="B69" s="2"/>
      <c r="E69" s="2"/>
      <c r="F69" s="2"/>
    </row>
    <row r="70" ht="15.75" customHeight="1">
      <c r="A70" s="2"/>
      <c r="B70" s="2"/>
      <c r="E70" s="2"/>
      <c r="F70" s="2"/>
    </row>
    <row r="71" ht="15.75" customHeight="1">
      <c r="A71" s="2"/>
      <c r="B71" s="2"/>
      <c r="E71" s="2"/>
      <c r="F71" s="2"/>
    </row>
    <row r="72" ht="15.75" customHeight="1">
      <c r="A72" s="2"/>
      <c r="B72" s="2"/>
      <c r="E72" s="2"/>
      <c r="F72" s="2"/>
    </row>
    <row r="73" ht="15.75" customHeight="1">
      <c r="A73" s="2"/>
      <c r="B73" s="2"/>
      <c r="E73" s="2"/>
      <c r="F73" s="2"/>
    </row>
    <row r="74" ht="15.75" customHeight="1">
      <c r="A74" s="2"/>
      <c r="B74" s="2"/>
      <c r="E74" s="2"/>
      <c r="F74" s="2"/>
    </row>
    <row r="75" ht="15.75" customHeight="1">
      <c r="A75" s="2"/>
      <c r="B75" s="2"/>
      <c r="E75" s="2"/>
      <c r="F75" s="2"/>
    </row>
    <row r="76" ht="15.75" customHeight="1">
      <c r="A76" s="2"/>
      <c r="B76" s="2"/>
      <c r="E76" s="2"/>
      <c r="F76" s="2"/>
    </row>
    <row r="77" ht="15.75" customHeight="1">
      <c r="A77" s="2"/>
      <c r="B77" s="2"/>
      <c r="E77" s="2"/>
      <c r="F77" s="2"/>
    </row>
    <row r="78" ht="15.75" customHeight="1">
      <c r="A78" s="2"/>
      <c r="B78" s="2"/>
      <c r="E78" s="2"/>
      <c r="F78" s="2"/>
    </row>
    <row r="79" ht="15.75" customHeight="1">
      <c r="A79" s="2"/>
      <c r="B79" s="2"/>
      <c r="E79" s="2"/>
      <c r="F79" s="2"/>
    </row>
    <row r="80" ht="15.75" customHeight="1">
      <c r="A80" s="2"/>
      <c r="B80" s="2"/>
      <c r="E80" s="2"/>
      <c r="F80" s="2"/>
    </row>
    <row r="81" ht="15.75" customHeight="1">
      <c r="A81" s="2"/>
      <c r="B81" s="2"/>
      <c r="E81" s="2"/>
      <c r="F81" s="2"/>
    </row>
    <row r="82" ht="15.75" customHeight="1">
      <c r="A82" s="2"/>
      <c r="B82" s="2"/>
      <c r="E82" s="2"/>
      <c r="F82" s="2"/>
    </row>
    <row r="83" ht="15.75" customHeight="1">
      <c r="A83" s="2"/>
      <c r="B83" s="2"/>
      <c r="E83" s="2"/>
      <c r="F83" s="2"/>
    </row>
    <row r="84" ht="15.75" customHeight="1">
      <c r="A84" s="2"/>
      <c r="B84" s="2"/>
      <c r="E84" s="2"/>
      <c r="F84" s="2"/>
    </row>
    <row r="85" ht="15.75" customHeight="1">
      <c r="A85" s="2"/>
      <c r="B85" s="2"/>
      <c r="E85" s="2"/>
      <c r="F85" s="2"/>
    </row>
    <row r="86" ht="15.75" customHeight="1">
      <c r="A86" s="2"/>
      <c r="B86" s="2"/>
      <c r="E86" s="2"/>
      <c r="F86" s="2"/>
    </row>
    <row r="87" ht="15.75" customHeight="1">
      <c r="A87" s="2"/>
      <c r="B87" s="2"/>
      <c r="E87" s="2"/>
      <c r="F87" s="2"/>
    </row>
    <row r="88" ht="15.75" customHeight="1">
      <c r="A88" s="2"/>
      <c r="B88" s="2"/>
      <c r="E88" s="2"/>
      <c r="F88" s="2"/>
    </row>
    <row r="89" ht="15.75" customHeight="1">
      <c r="A89" s="2"/>
      <c r="B89" s="2"/>
      <c r="E89" s="2"/>
      <c r="F89" s="2"/>
    </row>
    <row r="90" ht="15.75" customHeight="1">
      <c r="A90" s="2"/>
      <c r="B90" s="2"/>
      <c r="E90" s="2"/>
      <c r="F90" s="2"/>
    </row>
    <row r="91" ht="15.75" customHeight="1">
      <c r="A91" s="2"/>
      <c r="B91" s="2"/>
      <c r="E91" s="2"/>
      <c r="F91" s="2"/>
    </row>
    <row r="92" ht="15.75" customHeight="1">
      <c r="A92" s="2"/>
      <c r="B92" s="2"/>
      <c r="E92" s="2"/>
      <c r="F92" s="2"/>
    </row>
    <row r="93" ht="15.75" customHeight="1">
      <c r="A93" s="2"/>
      <c r="B93" s="2"/>
      <c r="E93" s="2"/>
      <c r="F93" s="2"/>
    </row>
    <row r="94" ht="15.75" customHeight="1">
      <c r="A94" s="2"/>
      <c r="B94" s="2"/>
      <c r="E94" s="2"/>
      <c r="F94" s="2"/>
    </row>
    <row r="95" ht="15.75" customHeight="1">
      <c r="A95" s="2"/>
      <c r="B95" s="2"/>
      <c r="E95" s="2"/>
      <c r="F95" s="2"/>
    </row>
    <row r="96" ht="15.75" customHeight="1">
      <c r="A96" s="2"/>
      <c r="B96" s="2"/>
      <c r="E96" s="2"/>
      <c r="F96" s="2"/>
    </row>
    <row r="97" ht="15.75" customHeight="1">
      <c r="A97" s="2"/>
      <c r="B97" s="2"/>
      <c r="E97" s="2"/>
      <c r="F97" s="2"/>
    </row>
    <row r="98" ht="15.75" customHeight="1">
      <c r="A98" s="2"/>
      <c r="B98" s="2"/>
      <c r="E98" s="2"/>
      <c r="F98" s="2"/>
    </row>
    <row r="99" ht="15.75" customHeight="1">
      <c r="A99" s="2"/>
      <c r="B99" s="2"/>
      <c r="E99" s="2"/>
      <c r="F99" s="2"/>
    </row>
    <row r="100" ht="15.75" customHeight="1">
      <c r="A100" s="2"/>
      <c r="B100" s="2"/>
      <c r="E100" s="2"/>
      <c r="F100" s="2"/>
    </row>
    <row r="101" ht="15.75" customHeight="1">
      <c r="A101" s="2"/>
      <c r="B101" s="2"/>
      <c r="E101" s="2"/>
      <c r="F101" s="2"/>
    </row>
    <row r="102" ht="15.75" customHeight="1">
      <c r="A102" s="2"/>
      <c r="B102" s="2"/>
      <c r="E102" s="2"/>
      <c r="F102" s="2"/>
    </row>
    <row r="103" ht="15.75" customHeight="1">
      <c r="A103" s="2"/>
      <c r="B103" s="2"/>
      <c r="E103" s="2"/>
      <c r="F103" s="2"/>
    </row>
    <row r="104" ht="15.75" customHeight="1">
      <c r="A104" s="2"/>
      <c r="B104" s="2"/>
      <c r="E104" s="2"/>
      <c r="F104" s="2"/>
    </row>
    <row r="105" ht="15.75" customHeight="1">
      <c r="A105" s="2"/>
      <c r="B105" s="2"/>
      <c r="E105" s="2"/>
      <c r="F105" s="2"/>
    </row>
    <row r="106" ht="15.75" customHeight="1">
      <c r="A106" s="2"/>
      <c r="B106" s="2"/>
      <c r="E106" s="2"/>
      <c r="F106" s="2"/>
    </row>
    <row r="107" ht="15.75" customHeight="1">
      <c r="A107" s="2"/>
      <c r="B107" s="2"/>
      <c r="E107" s="2"/>
      <c r="F107" s="2"/>
    </row>
    <row r="108" ht="15.75" customHeight="1">
      <c r="A108" s="2"/>
      <c r="B108" s="2"/>
      <c r="E108" s="2"/>
      <c r="F108" s="2"/>
    </row>
    <row r="109" ht="15.75" customHeight="1">
      <c r="A109" s="2"/>
      <c r="B109" s="2"/>
      <c r="E109" s="2"/>
      <c r="F109" s="2"/>
    </row>
    <row r="110" ht="15.75" customHeight="1">
      <c r="A110" s="2"/>
      <c r="B110" s="2"/>
      <c r="E110" s="2"/>
      <c r="F110" s="2"/>
    </row>
    <row r="111" ht="15.75" customHeight="1">
      <c r="A111" s="2"/>
      <c r="B111" s="2"/>
      <c r="E111" s="2"/>
      <c r="F111" s="2"/>
    </row>
    <row r="112" ht="15.75" customHeight="1">
      <c r="A112" s="2"/>
      <c r="B112" s="2"/>
      <c r="E112" s="2"/>
      <c r="F112" s="2"/>
    </row>
    <row r="113" ht="15.75" customHeight="1">
      <c r="A113" s="2"/>
      <c r="B113" s="2"/>
      <c r="E113" s="2"/>
      <c r="F113" s="2"/>
    </row>
    <row r="114" ht="15.75" customHeight="1">
      <c r="A114" s="2"/>
      <c r="B114" s="2"/>
      <c r="E114" s="2"/>
      <c r="F114" s="2"/>
    </row>
    <row r="115" ht="15.75" customHeight="1">
      <c r="A115" s="2"/>
      <c r="B115" s="2"/>
      <c r="E115" s="2"/>
      <c r="F115" s="2"/>
    </row>
    <row r="116" ht="15.75" customHeight="1">
      <c r="A116" s="2"/>
      <c r="B116" s="2"/>
      <c r="E116" s="2"/>
      <c r="F116" s="2"/>
    </row>
    <row r="117" ht="15.75" customHeight="1">
      <c r="A117" s="2"/>
      <c r="B117" s="2"/>
      <c r="E117" s="2"/>
      <c r="F117" s="2"/>
    </row>
    <row r="118" ht="15.75" customHeight="1">
      <c r="A118" s="2"/>
      <c r="B118" s="2"/>
      <c r="E118" s="2"/>
      <c r="F118" s="2"/>
    </row>
    <row r="119" ht="15.75" customHeight="1">
      <c r="A119" s="2"/>
      <c r="B119" s="2"/>
      <c r="E119" s="2"/>
      <c r="F119" s="2"/>
    </row>
    <row r="120" ht="15.75" customHeight="1">
      <c r="A120" s="2"/>
      <c r="B120" s="2"/>
      <c r="E120" s="2"/>
      <c r="F120" s="2"/>
    </row>
    <row r="121" ht="15.75" customHeight="1">
      <c r="A121" s="2"/>
      <c r="B121" s="2"/>
      <c r="E121" s="2"/>
      <c r="F121" s="2"/>
    </row>
    <row r="122" ht="15.75" customHeight="1">
      <c r="A122" s="2"/>
      <c r="B122" s="2"/>
      <c r="E122" s="2"/>
      <c r="F122" s="2"/>
    </row>
    <row r="123" ht="15.75" customHeight="1">
      <c r="A123" s="2"/>
      <c r="B123" s="2"/>
      <c r="E123" s="2"/>
      <c r="F123" s="2"/>
    </row>
    <row r="124" ht="15.75" customHeight="1">
      <c r="A124" s="2"/>
      <c r="B124" s="2"/>
      <c r="E124" s="2"/>
      <c r="F124" s="2"/>
    </row>
    <row r="125" ht="15.75" customHeight="1">
      <c r="A125" s="2"/>
      <c r="B125" s="2"/>
      <c r="E125" s="2"/>
      <c r="F125" s="2"/>
    </row>
    <row r="126" ht="15.75" customHeight="1">
      <c r="A126" s="2"/>
      <c r="B126" s="2"/>
      <c r="E126" s="2"/>
      <c r="F126" s="2"/>
    </row>
    <row r="127" ht="15.75" customHeight="1">
      <c r="A127" s="2"/>
      <c r="B127" s="2"/>
      <c r="E127" s="2"/>
      <c r="F127" s="2"/>
    </row>
    <row r="128" ht="15.75" customHeight="1">
      <c r="A128" s="2"/>
      <c r="B128" s="2"/>
      <c r="E128" s="2"/>
      <c r="F128" s="2"/>
    </row>
    <row r="129" ht="15.75" customHeight="1">
      <c r="A129" s="2"/>
      <c r="B129" s="2"/>
      <c r="E129" s="2"/>
      <c r="F129" s="2"/>
    </row>
    <row r="130" ht="15.75" customHeight="1">
      <c r="A130" s="2"/>
      <c r="B130" s="2"/>
      <c r="E130" s="2"/>
      <c r="F130" s="2"/>
    </row>
    <row r="131" ht="15.75" customHeight="1">
      <c r="A131" s="2"/>
      <c r="B131" s="2"/>
      <c r="E131" s="2"/>
      <c r="F131" s="2"/>
    </row>
    <row r="132" ht="15.75" customHeight="1">
      <c r="A132" s="2"/>
      <c r="B132" s="2"/>
      <c r="E132" s="2"/>
      <c r="F132" s="2"/>
    </row>
    <row r="133" ht="15.75" customHeight="1">
      <c r="A133" s="2"/>
      <c r="B133" s="2"/>
      <c r="E133" s="2"/>
      <c r="F133" s="2"/>
    </row>
    <row r="134" ht="15.75" customHeight="1">
      <c r="A134" s="2"/>
      <c r="B134" s="2"/>
      <c r="E134" s="2"/>
      <c r="F134" s="2"/>
    </row>
    <row r="135" ht="15.75" customHeight="1">
      <c r="A135" s="2"/>
      <c r="B135" s="2"/>
      <c r="E135" s="2"/>
      <c r="F135" s="2"/>
    </row>
    <row r="136" ht="15.75" customHeight="1">
      <c r="A136" s="2"/>
      <c r="B136" s="2"/>
      <c r="E136" s="2"/>
      <c r="F136" s="2"/>
    </row>
    <row r="137" ht="15.75" customHeight="1">
      <c r="A137" s="2"/>
      <c r="B137" s="2"/>
      <c r="E137" s="2"/>
      <c r="F137" s="2"/>
    </row>
    <row r="138" ht="15.75" customHeight="1">
      <c r="A138" s="2"/>
      <c r="B138" s="2"/>
      <c r="E138" s="2"/>
      <c r="F138" s="2"/>
    </row>
    <row r="139" ht="15.75" customHeight="1">
      <c r="A139" s="2"/>
      <c r="B139" s="2"/>
      <c r="E139" s="2"/>
      <c r="F139" s="2"/>
    </row>
    <row r="140" ht="15.75" customHeight="1">
      <c r="A140" s="2"/>
      <c r="B140" s="2"/>
      <c r="E140" s="2"/>
      <c r="F140" s="2"/>
    </row>
    <row r="141" ht="15.75" customHeight="1">
      <c r="A141" s="2"/>
      <c r="B141" s="2"/>
      <c r="E141" s="2"/>
      <c r="F141" s="2"/>
    </row>
    <row r="142" ht="15.75" customHeight="1">
      <c r="A142" s="2"/>
      <c r="B142" s="2"/>
      <c r="E142" s="2"/>
      <c r="F142" s="2"/>
    </row>
    <row r="143" ht="15.75" customHeight="1">
      <c r="A143" s="2"/>
      <c r="B143" s="2"/>
      <c r="E143" s="2"/>
      <c r="F143" s="2"/>
    </row>
    <row r="144" ht="15.75" customHeight="1">
      <c r="A144" s="2"/>
      <c r="B144" s="2"/>
      <c r="E144" s="2"/>
      <c r="F144" s="2"/>
    </row>
    <row r="145" ht="15.75" customHeight="1">
      <c r="A145" s="2"/>
      <c r="B145" s="2"/>
      <c r="E145" s="2"/>
      <c r="F145" s="2"/>
    </row>
    <row r="146" ht="15.75" customHeight="1">
      <c r="A146" s="2"/>
      <c r="B146" s="2"/>
      <c r="E146" s="2"/>
      <c r="F146" s="2"/>
    </row>
    <row r="147" ht="15.75" customHeight="1">
      <c r="A147" s="2"/>
      <c r="B147" s="2"/>
      <c r="E147" s="2"/>
      <c r="F147" s="2"/>
    </row>
    <row r="148" ht="15.75" customHeight="1">
      <c r="A148" s="2"/>
      <c r="B148" s="2"/>
      <c r="E148" s="2"/>
      <c r="F148" s="2"/>
    </row>
    <row r="149" ht="15.75" customHeight="1">
      <c r="A149" s="2"/>
      <c r="B149" s="2"/>
      <c r="E149" s="2"/>
      <c r="F149" s="2"/>
    </row>
    <row r="150" ht="15.75" customHeight="1">
      <c r="A150" s="2"/>
      <c r="B150" s="2"/>
      <c r="E150" s="2"/>
      <c r="F150" s="2"/>
    </row>
    <row r="151" ht="15.75" customHeight="1">
      <c r="A151" s="2"/>
      <c r="B151" s="2"/>
      <c r="E151" s="2"/>
      <c r="F151" s="2"/>
    </row>
    <row r="152" ht="15.75" customHeight="1">
      <c r="A152" s="2"/>
      <c r="B152" s="2"/>
      <c r="E152" s="2"/>
      <c r="F152" s="2"/>
    </row>
    <row r="153" ht="15.75" customHeight="1">
      <c r="A153" s="2"/>
      <c r="B153" s="2"/>
      <c r="E153" s="2"/>
      <c r="F153" s="2"/>
    </row>
    <row r="154" ht="15.75" customHeight="1">
      <c r="A154" s="2"/>
      <c r="B154" s="2"/>
      <c r="E154" s="2"/>
      <c r="F154" s="2"/>
    </row>
    <row r="155" ht="15.75" customHeight="1">
      <c r="A155" s="2"/>
      <c r="B155" s="2"/>
      <c r="E155" s="2"/>
      <c r="F155" s="2"/>
    </row>
    <row r="156" ht="15.75" customHeight="1">
      <c r="A156" s="2"/>
      <c r="B156" s="2"/>
      <c r="E156" s="2"/>
      <c r="F156" s="2"/>
    </row>
    <row r="157" ht="15.75" customHeight="1">
      <c r="A157" s="2"/>
      <c r="B157" s="2"/>
      <c r="E157" s="2"/>
      <c r="F157" s="2"/>
    </row>
    <row r="158" ht="15.75" customHeight="1">
      <c r="A158" s="2"/>
      <c r="B158" s="2"/>
      <c r="E158" s="2"/>
      <c r="F158" s="2"/>
    </row>
    <row r="159" ht="15.75" customHeight="1">
      <c r="A159" s="2"/>
      <c r="B159" s="2"/>
      <c r="E159" s="2"/>
      <c r="F159" s="2"/>
    </row>
    <row r="160" ht="15.75" customHeight="1">
      <c r="A160" s="2"/>
      <c r="B160" s="2"/>
      <c r="E160" s="2"/>
      <c r="F160" s="2"/>
    </row>
    <row r="161" ht="15.75" customHeight="1">
      <c r="A161" s="2"/>
      <c r="B161" s="2"/>
      <c r="E161" s="2"/>
      <c r="F161" s="2"/>
    </row>
    <row r="162" ht="15.75" customHeight="1">
      <c r="A162" s="2"/>
      <c r="B162" s="2"/>
      <c r="E162" s="2"/>
      <c r="F162" s="2"/>
    </row>
    <row r="163" ht="15.75" customHeight="1">
      <c r="A163" s="2"/>
      <c r="B163" s="2"/>
      <c r="E163" s="2"/>
      <c r="F163" s="2"/>
    </row>
    <row r="164" ht="15.75" customHeight="1">
      <c r="A164" s="2"/>
      <c r="B164" s="2"/>
      <c r="E164" s="2"/>
      <c r="F164" s="2"/>
    </row>
    <row r="165" ht="15.75" customHeight="1">
      <c r="A165" s="2"/>
      <c r="B165" s="2"/>
      <c r="E165" s="2"/>
      <c r="F165" s="2"/>
    </row>
    <row r="166" ht="15.75" customHeight="1">
      <c r="A166" s="2"/>
      <c r="B166" s="2"/>
      <c r="E166" s="2"/>
      <c r="F166" s="2"/>
    </row>
    <row r="167" ht="15.75" customHeight="1">
      <c r="A167" s="2"/>
      <c r="B167" s="2"/>
      <c r="E167" s="2"/>
      <c r="F167" s="2"/>
    </row>
    <row r="168" ht="15.75" customHeight="1">
      <c r="A168" s="2"/>
      <c r="B168" s="2"/>
      <c r="E168" s="2"/>
      <c r="F168" s="2"/>
    </row>
    <row r="169" ht="15.75" customHeight="1">
      <c r="A169" s="2"/>
      <c r="B169" s="2"/>
      <c r="E169" s="2"/>
      <c r="F169" s="2"/>
    </row>
    <row r="170" ht="15.75" customHeight="1">
      <c r="A170" s="2"/>
      <c r="B170" s="2"/>
      <c r="E170" s="2"/>
      <c r="F170" s="2"/>
    </row>
    <row r="171" ht="15.75" customHeight="1">
      <c r="A171" s="2"/>
      <c r="B171" s="2"/>
      <c r="E171" s="2"/>
      <c r="F171" s="2"/>
    </row>
    <row r="172" ht="15.75" customHeight="1">
      <c r="A172" s="2"/>
      <c r="B172" s="2"/>
      <c r="E172" s="2"/>
      <c r="F172" s="2"/>
    </row>
    <row r="173" ht="15.75" customHeight="1">
      <c r="A173" s="2"/>
      <c r="B173" s="2"/>
      <c r="E173" s="2"/>
      <c r="F173" s="2"/>
    </row>
    <row r="174" ht="15.75" customHeight="1">
      <c r="A174" s="2"/>
      <c r="B174" s="2"/>
      <c r="E174" s="2"/>
      <c r="F174" s="2"/>
    </row>
    <row r="175" ht="15.75" customHeight="1">
      <c r="A175" s="2"/>
      <c r="B175" s="2"/>
      <c r="E175" s="2"/>
      <c r="F175" s="2"/>
    </row>
    <row r="176" ht="15.75" customHeight="1">
      <c r="A176" s="2"/>
      <c r="B176" s="2"/>
      <c r="E176" s="2"/>
      <c r="F176" s="2"/>
    </row>
    <row r="177" ht="15.75" customHeight="1">
      <c r="A177" s="2"/>
      <c r="B177" s="2"/>
      <c r="E177" s="2"/>
      <c r="F177" s="2"/>
    </row>
    <row r="178" ht="15.75" customHeight="1">
      <c r="A178" s="2"/>
      <c r="B178" s="2"/>
      <c r="E178" s="2"/>
      <c r="F178" s="2"/>
    </row>
    <row r="179" ht="15.75" customHeight="1">
      <c r="A179" s="2"/>
      <c r="B179" s="2"/>
      <c r="E179" s="2"/>
      <c r="F179" s="2"/>
    </row>
    <row r="180" ht="15.75" customHeight="1">
      <c r="A180" s="2"/>
      <c r="B180" s="2"/>
      <c r="E180" s="2"/>
      <c r="F180" s="2"/>
    </row>
    <row r="181" ht="15.75" customHeight="1">
      <c r="A181" s="2"/>
      <c r="B181" s="2"/>
      <c r="E181" s="2"/>
      <c r="F181" s="2"/>
    </row>
    <row r="182" ht="15.75" customHeight="1">
      <c r="A182" s="2"/>
      <c r="B182" s="2"/>
      <c r="E182" s="2"/>
      <c r="F182" s="2"/>
    </row>
    <row r="183" ht="15.75" customHeight="1">
      <c r="A183" s="2"/>
      <c r="B183" s="2"/>
      <c r="E183" s="2"/>
      <c r="F183" s="2"/>
    </row>
    <row r="184" ht="15.75" customHeight="1">
      <c r="A184" s="2"/>
      <c r="B184" s="2"/>
      <c r="E184" s="2"/>
      <c r="F184" s="2"/>
    </row>
    <row r="185" ht="15.75" customHeight="1">
      <c r="A185" s="2"/>
      <c r="B185" s="2"/>
      <c r="E185" s="2"/>
      <c r="F185" s="2"/>
    </row>
    <row r="186" ht="15.75" customHeight="1">
      <c r="A186" s="2"/>
      <c r="B186" s="2"/>
      <c r="E186" s="2"/>
      <c r="F186" s="2"/>
    </row>
    <row r="187" ht="15.75" customHeight="1">
      <c r="A187" s="2"/>
      <c r="B187" s="2"/>
      <c r="E187" s="2"/>
      <c r="F187" s="2"/>
    </row>
    <row r="188" ht="15.75" customHeight="1">
      <c r="A188" s="2"/>
      <c r="B188" s="2"/>
      <c r="E188" s="2"/>
      <c r="F188" s="2"/>
    </row>
    <row r="189" ht="15.75" customHeight="1">
      <c r="A189" s="2"/>
      <c r="B189" s="2"/>
      <c r="E189" s="2"/>
      <c r="F189" s="2"/>
    </row>
    <row r="190" ht="15.75" customHeight="1">
      <c r="A190" s="2"/>
      <c r="B190" s="2"/>
      <c r="E190" s="2"/>
      <c r="F190" s="2"/>
    </row>
    <row r="191" ht="15.75" customHeight="1">
      <c r="A191" s="2"/>
      <c r="B191" s="2"/>
      <c r="E191" s="2"/>
      <c r="F191" s="2"/>
    </row>
    <row r="192" ht="15.75" customHeight="1">
      <c r="A192" s="2"/>
      <c r="B192" s="2"/>
      <c r="E192" s="2"/>
      <c r="F192" s="2"/>
    </row>
    <row r="193" ht="15.75" customHeight="1">
      <c r="A193" s="2"/>
      <c r="B193" s="2"/>
      <c r="E193" s="2"/>
      <c r="F193" s="2"/>
    </row>
    <row r="194" ht="15.75" customHeight="1">
      <c r="A194" s="2"/>
      <c r="B194" s="2"/>
      <c r="E194" s="2"/>
      <c r="F194" s="2"/>
    </row>
    <row r="195" ht="15.75" customHeight="1">
      <c r="A195" s="2"/>
      <c r="B195" s="2"/>
      <c r="E195" s="2"/>
      <c r="F195" s="2"/>
    </row>
    <row r="196" ht="15.75" customHeight="1">
      <c r="A196" s="2"/>
      <c r="B196" s="2"/>
      <c r="E196" s="2"/>
      <c r="F196" s="2"/>
    </row>
    <row r="197" ht="15.75" customHeight="1">
      <c r="A197" s="2"/>
      <c r="B197" s="2"/>
      <c r="E197" s="2"/>
      <c r="F197" s="2"/>
    </row>
    <row r="198" ht="15.75" customHeight="1">
      <c r="A198" s="2"/>
      <c r="B198" s="2"/>
      <c r="E198" s="2"/>
      <c r="F198" s="2"/>
    </row>
    <row r="199" ht="15.75" customHeight="1">
      <c r="A199" s="2"/>
      <c r="B199" s="2"/>
      <c r="E199" s="2"/>
      <c r="F199" s="2"/>
    </row>
    <row r="200" ht="15.75" customHeight="1">
      <c r="A200" s="2"/>
      <c r="B200" s="2"/>
      <c r="E200" s="2"/>
      <c r="F200" s="2"/>
    </row>
    <row r="201" ht="15.75" customHeight="1">
      <c r="A201" s="2"/>
      <c r="B201" s="2"/>
      <c r="E201" s="2"/>
      <c r="F201" s="2"/>
    </row>
    <row r="202" ht="15.75" customHeight="1">
      <c r="A202" s="2"/>
      <c r="B202" s="2"/>
      <c r="E202" s="2"/>
      <c r="F202" s="2"/>
    </row>
    <row r="203" ht="15.75" customHeight="1">
      <c r="A203" s="2"/>
      <c r="B203" s="2"/>
      <c r="E203" s="2"/>
      <c r="F203" s="2"/>
    </row>
    <row r="204" ht="15.75" customHeight="1">
      <c r="A204" s="2"/>
      <c r="B204" s="2"/>
      <c r="E204" s="2"/>
      <c r="F204" s="2"/>
    </row>
    <row r="205" ht="15.75" customHeight="1">
      <c r="A205" s="2"/>
      <c r="B205" s="2"/>
      <c r="E205" s="2"/>
      <c r="F205" s="2"/>
    </row>
    <row r="206" ht="15.75" customHeight="1">
      <c r="A206" s="2"/>
      <c r="B206" s="2"/>
      <c r="E206" s="2"/>
      <c r="F206" s="2"/>
    </row>
    <row r="207" ht="15.75" customHeight="1">
      <c r="A207" s="2"/>
      <c r="B207" s="2"/>
      <c r="E207" s="2"/>
      <c r="F207" s="2"/>
    </row>
    <row r="208" ht="15.75" customHeight="1">
      <c r="A208" s="2"/>
      <c r="B208" s="2"/>
      <c r="E208" s="2"/>
      <c r="F208" s="2"/>
    </row>
    <row r="209" ht="15.75" customHeight="1">
      <c r="A209" s="2"/>
      <c r="B209" s="2"/>
      <c r="E209" s="2"/>
      <c r="F209" s="2"/>
    </row>
    <row r="210" ht="15.75" customHeight="1">
      <c r="A210" s="2"/>
      <c r="B210" s="2"/>
      <c r="E210" s="2"/>
      <c r="F210" s="2"/>
    </row>
    <row r="211" ht="15.75" customHeight="1">
      <c r="A211" s="2"/>
      <c r="B211" s="2"/>
      <c r="E211" s="2"/>
      <c r="F211" s="2"/>
    </row>
    <row r="212" ht="15.75" customHeight="1">
      <c r="A212" s="2"/>
      <c r="B212" s="2"/>
      <c r="E212" s="2"/>
      <c r="F212" s="2"/>
    </row>
    <row r="213" ht="15.75" customHeight="1">
      <c r="A213" s="2"/>
      <c r="B213" s="2"/>
      <c r="E213" s="2"/>
      <c r="F213" s="2"/>
    </row>
    <row r="214" ht="15.75" customHeight="1">
      <c r="A214" s="2"/>
      <c r="B214" s="2"/>
      <c r="E214" s="2"/>
      <c r="F214" s="2"/>
    </row>
    <row r="215" ht="15.75" customHeight="1">
      <c r="A215" s="2"/>
      <c r="B215" s="2"/>
      <c r="E215" s="2"/>
      <c r="F215" s="2"/>
    </row>
    <row r="216" ht="15.75" customHeight="1">
      <c r="A216" s="2"/>
      <c r="B216" s="2"/>
      <c r="E216" s="2"/>
      <c r="F216" s="2"/>
    </row>
    <row r="217" ht="15.75" customHeight="1">
      <c r="A217" s="2"/>
      <c r="B217" s="2"/>
      <c r="E217" s="2"/>
      <c r="F217" s="2"/>
    </row>
    <row r="218" ht="15.75" customHeight="1">
      <c r="A218" s="2"/>
      <c r="B218" s="2"/>
      <c r="E218" s="2"/>
      <c r="F218" s="2"/>
    </row>
    <row r="219" ht="15.75" customHeight="1">
      <c r="A219" s="2"/>
      <c r="B219" s="2"/>
      <c r="E219" s="2"/>
      <c r="F219" s="2"/>
    </row>
    <row r="220" ht="15.75" customHeight="1">
      <c r="A220" s="2"/>
      <c r="B220" s="2"/>
      <c r="E220" s="2"/>
      <c r="F220" s="2"/>
    </row>
    <row r="221" ht="15.75" customHeight="1">
      <c r="A221" s="2"/>
      <c r="B221" s="2"/>
      <c r="E221" s="2"/>
      <c r="F221" s="2"/>
    </row>
    <row r="222" ht="15.75" customHeight="1">
      <c r="A222" s="2"/>
      <c r="B222" s="2"/>
      <c r="E222" s="2"/>
      <c r="F222" s="2"/>
    </row>
    <row r="223" ht="15.75" customHeight="1">
      <c r="A223" s="2"/>
      <c r="B223" s="2"/>
      <c r="E223" s="2"/>
      <c r="F223" s="2"/>
    </row>
    <row r="224" ht="15.75" customHeight="1">
      <c r="A224" s="2"/>
      <c r="B224" s="2"/>
      <c r="E224" s="2"/>
      <c r="F224" s="2"/>
    </row>
    <row r="225" ht="15.75" customHeight="1">
      <c r="A225" s="2"/>
      <c r="B225" s="2"/>
      <c r="E225" s="2"/>
      <c r="F225" s="2"/>
    </row>
    <row r="226" ht="15.75" customHeight="1">
      <c r="A226" s="2"/>
      <c r="B226" s="2"/>
      <c r="E226" s="2"/>
      <c r="F226" s="2"/>
    </row>
    <row r="227" ht="15.75" customHeight="1">
      <c r="A227" s="2"/>
      <c r="B227" s="2"/>
      <c r="E227" s="2"/>
      <c r="F227" s="2"/>
    </row>
    <row r="228" ht="15.75" customHeight="1">
      <c r="A228" s="2"/>
      <c r="B228" s="2"/>
      <c r="E228" s="2"/>
      <c r="F228" s="2"/>
    </row>
    <row r="229" ht="15.75" customHeight="1">
      <c r="A229" s="2"/>
      <c r="B229" s="2"/>
      <c r="E229" s="2"/>
      <c r="F229" s="2"/>
    </row>
    <row r="230" ht="15.75" customHeight="1">
      <c r="A230" s="2"/>
      <c r="B230" s="2"/>
      <c r="E230" s="2"/>
      <c r="F230" s="2"/>
    </row>
    <row r="231" ht="15.75" customHeight="1">
      <c r="A231" s="2"/>
      <c r="B231" s="2"/>
      <c r="E231" s="2"/>
      <c r="F231" s="2"/>
    </row>
    <row r="232" ht="15.75" customHeight="1">
      <c r="A232" s="2"/>
      <c r="B232" s="2"/>
      <c r="E232" s="2"/>
      <c r="F232" s="2"/>
    </row>
    <row r="233" ht="15.75" customHeight="1">
      <c r="A233" s="2"/>
      <c r="B233" s="2"/>
      <c r="E233" s="2"/>
      <c r="F233" s="2"/>
    </row>
    <row r="234" ht="15.75" customHeight="1">
      <c r="A234" s="2"/>
      <c r="B234" s="2"/>
      <c r="E234" s="2"/>
      <c r="F234" s="2"/>
    </row>
    <row r="235" ht="15.75" customHeight="1">
      <c r="A235" s="2"/>
      <c r="B235" s="2"/>
      <c r="E235" s="2"/>
      <c r="F235" s="2"/>
    </row>
    <row r="236" ht="15.75" customHeight="1">
      <c r="A236" s="2"/>
      <c r="B236" s="2"/>
      <c r="E236" s="2"/>
      <c r="F236" s="2"/>
    </row>
    <row r="237" ht="15.75" customHeight="1">
      <c r="A237" s="2"/>
      <c r="B237" s="2"/>
      <c r="E237" s="2"/>
      <c r="F237" s="2"/>
    </row>
    <row r="238" ht="15.75" customHeight="1">
      <c r="A238" s="2"/>
      <c r="B238" s="2"/>
      <c r="E238" s="2"/>
      <c r="F238" s="2"/>
    </row>
    <row r="239" ht="15.75" customHeight="1">
      <c r="A239" s="2"/>
      <c r="B239" s="2"/>
      <c r="E239" s="2"/>
      <c r="F239" s="2"/>
    </row>
    <row r="240" ht="15.75" customHeight="1">
      <c r="A240" s="2"/>
      <c r="B240" s="2"/>
      <c r="E240" s="2"/>
      <c r="F240" s="2"/>
    </row>
    <row r="241" ht="15.75" customHeight="1">
      <c r="A241" s="2"/>
      <c r="B241" s="2"/>
      <c r="E241" s="2"/>
      <c r="F241" s="2"/>
    </row>
    <row r="242" ht="15.75" customHeight="1">
      <c r="A242" s="2"/>
      <c r="B242" s="2"/>
      <c r="E242" s="2"/>
      <c r="F242" s="2"/>
    </row>
    <row r="243" ht="15.75" customHeight="1">
      <c r="A243" s="2"/>
      <c r="B243" s="2"/>
      <c r="E243" s="2"/>
      <c r="F243" s="2"/>
    </row>
    <row r="244" ht="15.75" customHeight="1">
      <c r="A244" s="2"/>
      <c r="B244" s="2"/>
      <c r="E244" s="2"/>
      <c r="F244" s="2"/>
    </row>
    <row r="245" ht="15.75" customHeight="1">
      <c r="A245" s="2"/>
      <c r="B245" s="2"/>
      <c r="E245" s="2"/>
      <c r="F245" s="2"/>
    </row>
    <row r="246" ht="15.75" customHeight="1">
      <c r="A246" s="2"/>
      <c r="B246" s="2"/>
      <c r="E246" s="2"/>
      <c r="F246" s="2"/>
    </row>
    <row r="247" ht="15.75" customHeight="1">
      <c r="A247" s="2"/>
      <c r="B247" s="2"/>
      <c r="E247" s="2"/>
      <c r="F247" s="2"/>
    </row>
    <row r="248" ht="15.75" customHeight="1">
      <c r="A248" s="2"/>
      <c r="B248" s="2"/>
      <c r="E248" s="2"/>
      <c r="F248" s="2"/>
    </row>
    <row r="249" ht="15.75" customHeight="1">
      <c r="A249" s="2"/>
      <c r="B249" s="2"/>
      <c r="E249" s="2"/>
      <c r="F249" s="2"/>
    </row>
    <row r="250" ht="15.75" customHeight="1">
      <c r="A250" s="2"/>
      <c r="B250" s="2"/>
      <c r="E250" s="2"/>
      <c r="F250" s="2"/>
    </row>
    <row r="251" ht="15.75" customHeight="1">
      <c r="A251" s="2"/>
      <c r="B251" s="2"/>
      <c r="E251" s="2"/>
      <c r="F251" s="2"/>
    </row>
    <row r="252" ht="15.75" customHeight="1">
      <c r="A252" s="2"/>
      <c r="B252" s="2"/>
      <c r="E252" s="2"/>
      <c r="F252" s="2"/>
    </row>
    <row r="253" ht="15.75" customHeight="1">
      <c r="A253" s="2"/>
      <c r="B253" s="2"/>
      <c r="E253" s="2"/>
      <c r="F253" s="2"/>
    </row>
    <row r="254" ht="15.75" customHeight="1">
      <c r="A254" s="2"/>
      <c r="B254" s="2"/>
      <c r="E254" s="2"/>
      <c r="F254" s="2"/>
    </row>
    <row r="255" ht="15.75" customHeight="1">
      <c r="A255" s="2"/>
      <c r="B255" s="2"/>
      <c r="E255" s="2"/>
      <c r="F255" s="2"/>
    </row>
    <row r="256" ht="15.75" customHeight="1">
      <c r="A256" s="2"/>
      <c r="B256" s="2"/>
      <c r="E256" s="2"/>
      <c r="F256" s="2"/>
    </row>
    <row r="257" ht="15.75" customHeight="1">
      <c r="A257" s="2"/>
      <c r="B257" s="2"/>
      <c r="E257" s="2"/>
      <c r="F257" s="2"/>
    </row>
    <row r="258" ht="15.75" customHeight="1">
      <c r="A258" s="2"/>
      <c r="B258" s="2"/>
      <c r="E258" s="2"/>
      <c r="F258" s="2"/>
    </row>
    <row r="259" ht="15.75" customHeight="1">
      <c r="A259" s="2"/>
      <c r="B259" s="2"/>
      <c r="E259" s="2"/>
      <c r="F259" s="2"/>
    </row>
    <row r="260" ht="15.75" customHeight="1">
      <c r="A260" s="2"/>
      <c r="B260" s="2"/>
      <c r="E260" s="2"/>
      <c r="F260" s="2"/>
    </row>
    <row r="261" ht="15.75" customHeight="1">
      <c r="A261" s="2"/>
      <c r="B261" s="2"/>
      <c r="E261" s="2"/>
      <c r="F261" s="2"/>
    </row>
    <row r="262" ht="15.75" customHeight="1">
      <c r="A262" s="2"/>
      <c r="B262" s="2"/>
      <c r="E262" s="2"/>
      <c r="F262" s="2"/>
    </row>
    <row r="263" ht="15.75" customHeight="1">
      <c r="A263" s="2"/>
      <c r="B263" s="2"/>
      <c r="E263" s="2"/>
      <c r="F263" s="2"/>
    </row>
    <row r="264" ht="15.75" customHeight="1">
      <c r="A264" s="2"/>
      <c r="B264" s="2"/>
      <c r="E264" s="2"/>
      <c r="F264" s="2"/>
    </row>
    <row r="265" ht="15.75" customHeight="1">
      <c r="A265" s="2"/>
      <c r="B265" s="2"/>
      <c r="E265" s="2"/>
      <c r="F265" s="2"/>
    </row>
    <row r="266" ht="15.75" customHeight="1">
      <c r="A266" s="2"/>
      <c r="B266" s="2"/>
      <c r="E266" s="2"/>
      <c r="F266" s="2"/>
    </row>
    <row r="267" ht="15.75" customHeight="1">
      <c r="A267" s="2"/>
      <c r="B267" s="2"/>
      <c r="E267" s="2"/>
      <c r="F267" s="2"/>
    </row>
    <row r="268" ht="15.75" customHeight="1">
      <c r="A268" s="2"/>
      <c r="B268" s="2"/>
      <c r="E268" s="2"/>
      <c r="F268" s="2"/>
    </row>
    <row r="269" ht="15.75" customHeight="1">
      <c r="A269" s="2"/>
      <c r="B269" s="2"/>
      <c r="E269" s="2"/>
      <c r="F269" s="2"/>
    </row>
    <row r="270" ht="15.75" customHeight="1">
      <c r="A270" s="2"/>
      <c r="B270" s="2"/>
      <c r="E270" s="2"/>
      <c r="F270" s="2"/>
    </row>
    <row r="271" ht="15.75" customHeight="1">
      <c r="A271" s="2"/>
      <c r="B271" s="2"/>
      <c r="E271" s="2"/>
      <c r="F271" s="2"/>
    </row>
    <row r="272" ht="15.75" customHeight="1">
      <c r="A272" s="2"/>
      <c r="B272" s="2"/>
      <c r="E272" s="2"/>
      <c r="F272" s="2"/>
    </row>
    <row r="273" ht="15.75" customHeight="1">
      <c r="A273" s="2"/>
      <c r="B273" s="2"/>
      <c r="E273" s="2"/>
      <c r="F273" s="2"/>
    </row>
    <row r="274" ht="15.75" customHeight="1">
      <c r="A274" s="2"/>
      <c r="B274" s="2"/>
      <c r="E274" s="2"/>
      <c r="F274" s="2"/>
    </row>
    <row r="275" ht="15.75" customHeight="1">
      <c r="A275" s="2"/>
      <c r="B275" s="2"/>
      <c r="E275" s="2"/>
      <c r="F275" s="2"/>
    </row>
    <row r="276" ht="15.75" customHeight="1">
      <c r="A276" s="2"/>
      <c r="B276" s="2"/>
      <c r="E276" s="2"/>
      <c r="F276" s="2"/>
    </row>
    <row r="277" ht="15.75" customHeight="1">
      <c r="A277" s="2"/>
      <c r="B277" s="2"/>
      <c r="E277" s="2"/>
      <c r="F277" s="2"/>
    </row>
    <row r="278" ht="15.75" customHeight="1">
      <c r="A278" s="2"/>
      <c r="B278" s="2"/>
      <c r="E278" s="2"/>
      <c r="F278" s="2"/>
    </row>
    <row r="279" ht="15.75" customHeight="1">
      <c r="A279" s="2"/>
      <c r="B279" s="2"/>
      <c r="E279" s="2"/>
      <c r="F279" s="2"/>
    </row>
    <row r="280" ht="15.75" customHeight="1">
      <c r="A280" s="2"/>
      <c r="B280" s="2"/>
      <c r="E280" s="2"/>
      <c r="F280" s="2"/>
    </row>
    <row r="281" ht="15.75" customHeight="1">
      <c r="A281" s="2"/>
      <c r="B281" s="2"/>
      <c r="E281" s="2"/>
      <c r="F281" s="2"/>
    </row>
    <row r="282" ht="15.75" customHeight="1">
      <c r="A282" s="2"/>
      <c r="B282" s="2"/>
      <c r="E282" s="2"/>
      <c r="F282" s="2"/>
    </row>
    <row r="283" ht="15.75" customHeight="1">
      <c r="A283" s="2"/>
      <c r="B283" s="2"/>
      <c r="E283" s="2"/>
      <c r="F283" s="2"/>
    </row>
    <row r="284" ht="15.75" customHeight="1">
      <c r="A284" s="2"/>
      <c r="B284" s="2"/>
      <c r="E284" s="2"/>
      <c r="F284" s="2"/>
    </row>
    <row r="285" ht="15.75" customHeight="1">
      <c r="A285" s="2"/>
      <c r="B285" s="2"/>
      <c r="E285" s="2"/>
      <c r="F285" s="2"/>
    </row>
    <row r="286" ht="15.75" customHeight="1">
      <c r="A286" s="2"/>
      <c r="B286" s="2"/>
      <c r="E286" s="2"/>
      <c r="F286" s="2"/>
    </row>
    <row r="287" ht="15.75" customHeight="1">
      <c r="A287" s="2"/>
      <c r="B287" s="2"/>
      <c r="E287" s="2"/>
      <c r="F287" s="2"/>
    </row>
    <row r="288" ht="15.75" customHeight="1">
      <c r="A288" s="2"/>
      <c r="B288" s="2"/>
      <c r="E288" s="2"/>
      <c r="F288" s="2"/>
    </row>
    <row r="289" ht="15.75" customHeight="1">
      <c r="A289" s="2"/>
      <c r="B289" s="2"/>
      <c r="E289" s="2"/>
      <c r="F289" s="2"/>
    </row>
    <row r="290" ht="15.75" customHeight="1">
      <c r="A290" s="2"/>
      <c r="B290" s="2"/>
      <c r="E290" s="2"/>
      <c r="F290" s="2"/>
    </row>
    <row r="291" ht="15.75" customHeight="1">
      <c r="A291" s="2"/>
      <c r="B291" s="2"/>
      <c r="E291" s="2"/>
      <c r="F291" s="2"/>
    </row>
    <row r="292" ht="15.75" customHeight="1">
      <c r="A292" s="2"/>
      <c r="B292" s="2"/>
      <c r="E292" s="2"/>
      <c r="F292" s="2"/>
    </row>
    <row r="293" ht="15.75" customHeight="1">
      <c r="A293" s="2"/>
      <c r="B293" s="2"/>
      <c r="E293" s="2"/>
      <c r="F293" s="2"/>
    </row>
    <row r="294" ht="15.75" customHeight="1">
      <c r="A294" s="2"/>
      <c r="B294" s="2"/>
      <c r="E294" s="2"/>
      <c r="F294" s="2"/>
    </row>
    <row r="295" ht="15.75" customHeight="1">
      <c r="A295" s="2"/>
      <c r="B295" s="2"/>
      <c r="E295" s="2"/>
      <c r="F295" s="2"/>
    </row>
    <row r="296" ht="15.75" customHeight="1">
      <c r="A296" s="2"/>
      <c r="B296" s="2"/>
      <c r="E296" s="2"/>
      <c r="F296" s="2"/>
    </row>
    <row r="297" ht="15.75" customHeight="1">
      <c r="A297" s="2"/>
      <c r="B297" s="2"/>
      <c r="E297" s="2"/>
      <c r="F297" s="2"/>
    </row>
    <row r="298" ht="15.75" customHeight="1">
      <c r="A298" s="2"/>
      <c r="B298" s="2"/>
      <c r="E298" s="2"/>
      <c r="F298" s="2"/>
    </row>
    <row r="299" ht="15.75" customHeight="1">
      <c r="A299" s="2"/>
      <c r="B299" s="2"/>
      <c r="E299" s="2"/>
      <c r="F299" s="2"/>
    </row>
    <row r="300" ht="15.75" customHeight="1">
      <c r="A300" s="2"/>
      <c r="B300" s="2"/>
      <c r="E300" s="2"/>
      <c r="F300" s="2"/>
    </row>
    <row r="301" ht="15.75" customHeight="1">
      <c r="A301" s="2"/>
      <c r="B301" s="2"/>
      <c r="E301" s="2"/>
      <c r="F301" s="2"/>
    </row>
    <row r="302" ht="15.75" customHeight="1">
      <c r="A302" s="2"/>
      <c r="B302" s="2"/>
      <c r="E302" s="2"/>
      <c r="F302" s="2"/>
    </row>
    <row r="303" ht="15.75" customHeight="1">
      <c r="A303" s="2"/>
      <c r="B303" s="2"/>
      <c r="E303" s="2"/>
      <c r="F303" s="2"/>
    </row>
    <row r="304" ht="15.75" customHeight="1">
      <c r="A304" s="2"/>
      <c r="B304" s="2"/>
      <c r="E304" s="2"/>
      <c r="F304" s="2"/>
    </row>
    <row r="305" ht="15.75" customHeight="1">
      <c r="A305" s="2"/>
      <c r="B305" s="2"/>
      <c r="E305" s="2"/>
      <c r="F305" s="2"/>
    </row>
    <row r="306" ht="15.75" customHeight="1">
      <c r="A306" s="2"/>
      <c r="B306" s="2"/>
      <c r="E306" s="2"/>
      <c r="F306" s="2"/>
    </row>
    <row r="307" ht="15.75" customHeight="1">
      <c r="A307" s="2"/>
      <c r="B307" s="2"/>
      <c r="E307" s="2"/>
      <c r="F307" s="2"/>
    </row>
    <row r="308" ht="15.75" customHeight="1">
      <c r="A308" s="2"/>
      <c r="B308" s="2"/>
      <c r="E308" s="2"/>
      <c r="F308" s="2"/>
    </row>
    <row r="309" ht="15.75" customHeight="1">
      <c r="A309" s="2"/>
      <c r="B309" s="2"/>
      <c r="E309" s="2"/>
      <c r="F309" s="2"/>
    </row>
    <row r="310" ht="15.75" customHeight="1">
      <c r="A310" s="2"/>
      <c r="B310" s="2"/>
      <c r="E310" s="2"/>
      <c r="F310" s="2"/>
    </row>
    <row r="311" ht="15.75" customHeight="1">
      <c r="A311" s="2"/>
      <c r="B311" s="2"/>
      <c r="E311" s="2"/>
      <c r="F311" s="2"/>
    </row>
    <row r="312" ht="15.75" customHeight="1">
      <c r="A312" s="2"/>
      <c r="B312" s="2"/>
      <c r="E312" s="2"/>
      <c r="F312" s="2"/>
    </row>
    <row r="313" ht="15.75" customHeight="1">
      <c r="A313" s="2"/>
      <c r="B313" s="2"/>
      <c r="E313" s="2"/>
      <c r="F313" s="2"/>
    </row>
    <row r="314" ht="15.75" customHeight="1">
      <c r="A314" s="2"/>
      <c r="B314" s="2"/>
      <c r="E314" s="2"/>
      <c r="F314" s="2"/>
    </row>
    <row r="315" ht="15.75" customHeight="1">
      <c r="A315" s="2"/>
      <c r="B315" s="2"/>
      <c r="E315" s="2"/>
      <c r="F315" s="2"/>
    </row>
    <row r="316" ht="15.75" customHeight="1">
      <c r="A316" s="2"/>
      <c r="B316" s="2"/>
      <c r="E316" s="2"/>
      <c r="F316" s="2"/>
    </row>
    <row r="317" ht="15.75" customHeight="1">
      <c r="A317" s="2"/>
      <c r="B317" s="2"/>
      <c r="E317" s="2"/>
      <c r="F317" s="2"/>
    </row>
    <row r="318" ht="15.75" customHeight="1">
      <c r="A318" s="2"/>
      <c r="B318" s="2"/>
      <c r="E318" s="2"/>
      <c r="F318" s="2"/>
    </row>
    <row r="319" ht="15.75" customHeight="1">
      <c r="A319" s="2"/>
      <c r="B319" s="2"/>
      <c r="E319" s="2"/>
      <c r="F319" s="2"/>
    </row>
    <row r="320" ht="15.75" customHeight="1">
      <c r="A320" s="2"/>
      <c r="B320" s="2"/>
      <c r="E320" s="2"/>
      <c r="F320" s="2"/>
    </row>
    <row r="321" ht="15.75" customHeight="1">
      <c r="A321" s="2"/>
      <c r="B321" s="2"/>
      <c r="E321" s="2"/>
      <c r="F321" s="2"/>
    </row>
    <row r="322" ht="15.75" customHeight="1">
      <c r="A322" s="2"/>
      <c r="B322" s="2"/>
      <c r="E322" s="2"/>
      <c r="F322" s="2"/>
    </row>
    <row r="323" ht="15.75" customHeight="1">
      <c r="A323" s="2"/>
      <c r="B323" s="2"/>
      <c r="E323" s="2"/>
      <c r="F323" s="2"/>
    </row>
    <row r="324" ht="15.75" customHeight="1">
      <c r="A324" s="2"/>
      <c r="B324" s="2"/>
      <c r="E324" s="2"/>
      <c r="F324" s="2"/>
    </row>
    <row r="325" ht="15.75" customHeight="1">
      <c r="A325" s="2"/>
      <c r="B325" s="2"/>
      <c r="E325" s="2"/>
      <c r="F325" s="2"/>
    </row>
    <row r="326" ht="15.75" customHeight="1">
      <c r="A326" s="2"/>
      <c r="B326" s="2"/>
      <c r="E326" s="2"/>
      <c r="F326" s="2"/>
    </row>
    <row r="327" ht="15.75" customHeight="1">
      <c r="A327" s="2"/>
      <c r="B327" s="2"/>
      <c r="E327" s="2"/>
      <c r="F327" s="2"/>
    </row>
    <row r="328" ht="15.75" customHeight="1">
      <c r="A328" s="2"/>
      <c r="B328" s="2"/>
      <c r="E328" s="2"/>
      <c r="F328" s="2"/>
    </row>
    <row r="329" ht="15.75" customHeight="1">
      <c r="A329" s="2"/>
      <c r="B329" s="2"/>
      <c r="E329" s="2"/>
      <c r="F329" s="2"/>
    </row>
    <row r="330" ht="15.75" customHeight="1">
      <c r="A330" s="2"/>
      <c r="B330" s="2"/>
      <c r="E330" s="2"/>
      <c r="F330" s="2"/>
    </row>
    <row r="331" ht="15.75" customHeight="1">
      <c r="A331" s="2"/>
      <c r="B331" s="2"/>
      <c r="E331" s="2"/>
      <c r="F331" s="2"/>
    </row>
    <row r="332" ht="15.75" customHeight="1">
      <c r="A332" s="2"/>
      <c r="B332" s="2"/>
      <c r="E332" s="2"/>
      <c r="F332" s="2"/>
    </row>
    <row r="333" ht="15.75" customHeight="1">
      <c r="A333" s="2"/>
      <c r="B333" s="2"/>
      <c r="E333" s="2"/>
      <c r="F333" s="2"/>
    </row>
    <row r="334" ht="15.75" customHeight="1">
      <c r="A334" s="2"/>
      <c r="B334" s="2"/>
      <c r="E334" s="2"/>
      <c r="F334" s="2"/>
    </row>
    <row r="335" ht="15.75" customHeight="1">
      <c r="A335" s="2"/>
      <c r="B335" s="2"/>
      <c r="E335" s="2"/>
      <c r="F335" s="2"/>
    </row>
    <row r="336" ht="15.75" customHeight="1">
      <c r="A336" s="2"/>
      <c r="B336" s="2"/>
      <c r="E336" s="2"/>
      <c r="F336" s="2"/>
    </row>
    <row r="337" ht="15.75" customHeight="1">
      <c r="A337" s="2"/>
      <c r="B337" s="2"/>
      <c r="E337" s="2"/>
      <c r="F337" s="2"/>
    </row>
    <row r="338" ht="15.75" customHeight="1">
      <c r="A338" s="2"/>
      <c r="B338" s="2"/>
      <c r="E338" s="2"/>
      <c r="F338" s="2"/>
    </row>
    <row r="339" ht="15.75" customHeight="1">
      <c r="A339" s="2"/>
      <c r="B339" s="2"/>
      <c r="E339" s="2"/>
      <c r="F339" s="2"/>
    </row>
    <row r="340" ht="15.75" customHeight="1">
      <c r="A340" s="2"/>
      <c r="B340" s="2"/>
      <c r="E340" s="2"/>
      <c r="F340" s="2"/>
    </row>
    <row r="341" ht="15.75" customHeight="1">
      <c r="A341" s="2"/>
      <c r="B341" s="2"/>
      <c r="E341" s="2"/>
      <c r="F341" s="2"/>
    </row>
    <row r="342" ht="15.75" customHeight="1">
      <c r="A342" s="2"/>
      <c r="B342" s="2"/>
      <c r="E342" s="2"/>
      <c r="F342" s="2"/>
    </row>
    <row r="343" ht="15.75" customHeight="1">
      <c r="A343" s="2"/>
      <c r="B343" s="2"/>
      <c r="E343" s="2"/>
      <c r="F343" s="2"/>
    </row>
    <row r="344" ht="15.75" customHeight="1">
      <c r="A344" s="2"/>
      <c r="B344" s="2"/>
      <c r="E344" s="2"/>
      <c r="F344" s="2"/>
    </row>
    <row r="345" ht="15.75" customHeight="1">
      <c r="A345" s="2"/>
      <c r="B345" s="2"/>
      <c r="E345" s="2"/>
      <c r="F345" s="2"/>
    </row>
    <row r="346" ht="15.75" customHeight="1">
      <c r="A346" s="2"/>
      <c r="B346" s="2"/>
      <c r="E346" s="2"/>
      <c r="F346" s="2"/>
    </row>
    <row r="347" ht="15.75" customHeight="1">
      <c r="A347" s="2"/>
      <c r="B347" s="2"/>
      <c r="E347" s="2"/>
      <c r="F347" s="2"/>
    </row>
    <row r="348" ht="15.75" customHeight="1">
      <c r="A348" s="2"/>
      <c r="B348" s="2"/>
      <c r="E348" s="2"/>
      <c r="F348" s="2"/>
    </row>
    <row r="349" ht="15.75" customHeight="1">
      <c r="A349" s="2"/>
      <c r="B349" s="2"/>
      <c r="E349" s="2"/>
      <c r="F349" s="2"/>
    </row>
    <row r="350" ht="15.75" customHeight="1">
      <c r="A350" s="2"/>
      <c r="B350" s="2"/>
      <c r="E350" s="2"/>
      <c r="F350" s="2"/>
    </row>
    <row r="351" ht="15.75" customHeight="1">
      <c r="A351" s="2"/>
      <c r="B351" s="2"/>
      <c r="E351" s="2"/>
      <c r="F351" s="2"/>
    </row>
    <row r="352" ht="15.75" customHeight="1">
      <c r="A352" s="2"/>
      <c r="B352" s="2"/>
      <c r="E352" s="2"/>
      <c r="F352" s="2"/>
    </row>
    <row r="353" ht="15.75" customHeight="1">
      <c r="A353" s="2"/>
      <c r="B353" s="2"/>
      <c r="E353" s="2"/>
      <c r="F353" s="2"/>
    </row>
    <row r="354" ht="15.75" customHeight="1">
      <c r="A354" s="2"/>
      <c r="B354" s="2"/>
      <c r="E354" s="2"/>
      <c r="F354" s="2"/>
    </row>
    <row r="355" ht="15.75" customHeight="1">
      <c r="A355" s="2"/>
      <c r="B355" s="2"/>
      <c r="E355" s="2"/>
      <c r="F355" s="2"/>
    </row>
    <row r="356" ht="15.75" customHeight="1">
      <c r="A356" s="2"/>
      <c r="B356" s="2"/>
      <c r="E356" s="2"/>
      <c r="F356" s="2"/>
    </row>
    <row r="357" ht="15.75" customHeight="1">
      <c r="A357" s="2"/>
      <c r="B357" s="2"/>
      <c r="E357" s="2"/>
      <c r="F357" s="2"/>
    </row>
    <row r="358" ht="15.75" customHeight="1">
      <c r="A358" s="2"/>
      <c r="B358" s="2"/>
      <c r="E358" s="2"/>
      <c r="F358" s="2"/>
    </row>
    <row r="359" ht="15.75" customHeight="1">
      <c r="A359" s="2"/>
      <c r="B359" s="2"/>
      <c r="E359" s="2"/>
      <c r="F359" s="2"/>
    </row>
    <row r="360" ht="15.75" customHeight="1">
      <c r="A360" s="2"/>
      <c r="B360" s="2"/>
      <c r="E360" s="2"/>
      <c r="F360" s="2"/>
    </row>
    <row r="361" ht="15.75" customHeight="1">
      <c r="A361" s="2"/>
      <c r="B361" s="2"/>
      <c r="E361" s="2"/>
      <c r="F361" s="2"/>
    </row>
    <row r="362" ht="15.75" customHeight="1">
      <c r="A362" s="2"/>
      <c r="B362" s="2"/>
      <c r="E362" s="2"/>
      <c r="F362" s="2"/>
    </row>
    <row r="363" ht="15.75" customHeight="1">
      <c r="A363" s="2"/>
      <c r="B363" s="2"/>
      <c r="E363" s="2"/>
      <c r="F363" s="2"/>
    </row>
    <row r="364" ht="15.75" customHeight="1">
      <c r="A364" s="2"/>
      <c r="B364" s="2"/>
      <c r="E364" s="2"/>
      <c r="F364" s="2"/>
    </row>
    <row r="365" ht="15.75" customHeight="1">
      <c r="A365" s="2"/>
      <c r="B365" s="2"/>
      <c r="E365" s="2"/>
      <c r="F365" s="2"/>
    </row>
    <row r="366" ht="15.75" customHeight="1">
      <c r="A366" s="2"/>
      <c r="B366" s="2"/>
      <c r="E366" s="2"/>
      <c r="F366" s="2"/>
    </row>
    <row r="367" ht="15.75" customHeight="1">
      <c r="A367" s="2"/>
      <c r="B367" s="2"/>
      <c r="E367" s="2"/>
      <c r="F367" s="2"/>
    </row>
    <row r="368" ht="15.75" customHeight="1">
      <c r="A368" s="2"/>
      <c r="B368" s="2"/>
      <c r="E368" s="2"/>
      <c r="F368" s="2"/>
    </row>
    <row r="369" ht="15.75" customHeight="1">
      <c r="A369" s="2"/>
      <c r="B369" s="2"/>
      <c r="E369" s="2"/>
      <c r="F369" s="2"/>
    </row>
    <row r="370" ht="15.75" customHeight="1">
      <c r="A370" s="2"/>
      <c r="B370" s="2"/>
      <c r="E370" s="2"/>
      <c r="F370" s="2"/>
    </row>
    <row r="371" ht="15.75" customHeight="1">
      <c r="A371" s="2"/>
      <c r="B371" s="2"/>
      <c r="E371" s="2"/>
      <c r="F371" s="2"/>
    </row>
    <row r="372" ht="15.75" customHeight="1">
      <c r="A372" s="2"/>
      <c r="B372" s="2"/>
      <c r="E372" s="2"/>
      <c r="F372" s="2"/>
    </row>
    <row r="373" ht="15.75" customHeight="1">
      <c r="A373" s="2"/>
      <c r="B373" s="2"/>
      <c r="E373" s="2"/>
      <c r="F373" s="2"/>
    </row>
    <row r="374" ht="15.75" customHeight="1">
      <c r="A374" s="2"/>
      <c r="B374" s="2"/>
      <c r="E374" s="2"/>
      <c r="F374" s="2"/>
    </row>
    <row r="375" ht="15.75" customHeight="1">
      <c r="A375" s="2"/>
      <c r="B375" s="2"/>
      <c r="E375" s="2"/>
      <c r="F375" s="2"/>
    </row>
    <row r="376" ht="15.75" customHeight="1">
      <c r="A376" s="2"/>
      <c r="B376" s="2"/>
      <c r="E376" s="2"/>
      <c r="F376" s="2"/>
    </row>
    <row r="377" ht="15.75" customHeight="1">
      <c r="A377" s="2"/>
      <c r="B377" s="2"/>
      <c r="E377" s="2"/>
      <c r="F377" s="2"/>
    </row>
    <row r="378" ht="15.75" customHeight="1">
      <c r="A378" s="2"/>
      <c r="B378" s="2"/>
      <c r="E378" s="2"/>
      <c r="F378" s="2"/>
    </row>
    <row r="379" ht="15.75" customHeight="1">
      <c r="A379" s="2"/>
      <c r="B379" s="2"/>
      <c r="E379" s="2"/>
      <c r="F379" s="2"/>
    </row>
    <row r="380" ht="15.75" customHeight="1">
      <c r="A380" s="2"/>
      <c r="B380" s="2"/>
      <c r="E380" s="2"/>
      <c r="F380" s="2"/>
    </row>
    <row r="381" ht="15.75" customHeight="1">
      <c r="A381" s="2"/>
      <c r="B381" s="2"/>
      <c r="E381" s="2"/>
      <c r="F381" s="2"/>
    </row>
    <row r="382" ht="15.75" customHeight="1">
      <c r="A382" s="2"/>
      <c r="B382" s="2"/>
      <c r="E382" s="2"/>
      <c r="F382" s="2"/>
    </row>
    <row r="383" ht="15.75" customHeight="1">
      <c r="A383" s="2"/>
      <c r="B383" s="2"/>
      <c r="E383" s="2"/>
      <c r="F383" s="2"/>
    </row>
    <row r="384" ht="15.75" customHeight="1">
      <c r="A384" s="2"/>
      <c r="B384" s="2"/>
      <c r="E384" s="2"/>
      <c r="F384" s="2"/>
    </row>
    <row r="385" ht="15.75" customHeight="1">
      <c r="A385" s="2"/>
      <c r="B385" s="2"/>
      <c r="E385" s="2"/>
      <c r="F385" s="2"/>
    </row>
    <row r="386" ht="15.75" customHeight="1">
      <c r="A386" s="2"/>
      <c r="B386" s="2"/>
      <c r="E386" s="2"/>
      <c r="F386" s="2"/>
    </row>
    <row r="387" ht="15.75" customHeight="1">
      <c r="A387" s="2"/>
      <c r="B387" s="2"/>
      <c r="E387" s="2"/>
      <c r="F387" s="2"/>
    </row>
    <row r="388" ht="15.75" customHeight="1">
      <c r="A388" s="2"/>
      <c r="B388" s="2"/>
      <c r="E388" s="2"/>
      <c r="F388" s="2"/>
    </row>
    <row r="389" ht="15.75" customHeight="1">
      <c r="A389" s="2"/>
      <c r="B389" s="2"/>
      <c r="E389" s="2"/>
      <c r="F389" s="2"/>
    </row>
    <row r="390" ht="15.75" customHeight="1">
      <c r="A390" s="2"/>
      <c r="B390" s="2"/>
      <c r="E390" s="2"/>
      <c r="F390" s="2"/>
    </row>
    <row r="391" ht="15.75" customHeight="1">
      <c r="A391" s="2"/>
      <c r="B391" s="2"/>
      <c r="E391" s="2"/>
      <c r="F391" s="2"/>
    </row>
    <row r="392" ht="15.75" customHeight="1">
      <c r="A392" s="2"/>
      <c r="B392" s="2"/>
      <c r="E392" s="2"/>
      <c r="F392" s="2"/>
    </row>
    <row r="393" ht="15.75" customHeight="1">
      <c r="A393" s="2"/>
      <c r="B393" s="2"/>
      <c r="E393" s="2"/>
      <c r="F393" s="2"/>
    </row>
    <row r="394" ht="15.75" customHeight="1">
      <c r="A394" s="2"/>
      <c r="B394" s="2"/>
      <c r="E394" s="2"/>
      <c r="F394" s="2"/>
    </row>
    <row r="395" ht="15.75" customHeight="1">
      <c r="A395" s="2"/>
      <c r="B395" s="2"/>
      <c r="E395" s="2"/>
      <c r="F395" s="2"/>
    </row>
    <row r="396" ht="15.75" customHeight="1">
      <c r="A396" s="2"/>
      <c r="B396" s="2"/>
      <c r="E396" s="2"/>
      <c r="F396" s="2"/>
    </row>
    <row r="397" ht="15.75" customHeight="1">
      <c r="A397" s="2"/>
      <c r="B397" s="2"/>
      <c r="E397" s="2"/>
      <c r="F397" s="2"/>
    </row>
    <row r="398" ht="15.75" customHeight="1">
      <c r="A398" s="2"/>
      <c r="B398" s="2"/>
      <c r="E398" s="2"/>
      <c r="F398" s="2"/>
    </row>
    <row r="399" ht="15.75" customHeight="1">
      <c r="A399" s="2"/>
      <c r="B399" s="2"/>
      <c r="E399" s="2"/>
      <c r="F399" s="2"/>
    </row>
    <row r="400" ht="15.75" customHeight="1">
      <c r="A400" s="2"/>
      <c r="B400" s="2"/>
      <c r="E400" s="2"/>
      <c r="F400" s="2"/>
    </row>
    <row r="401" ht="15.75" customHeight="1">
      <c r="A401" s="2"/>
      <c r="B401" s="2"/>
      <c r="E401" s="2"/>
      <c r="F401" s="2"/>
    </row>
    <row r="402" ht="15.75" customHeight="1">
      <c r="A402" s="2"/>
      <c r="B402" s="2"/>
      <c r="E402" s="2"/>
      <c r="F402" s="2"/>
    </row>
    <row r="403" ht="15.75" customHeight="1">
      <c r="A403" s="2"/>
      <c r="B403" s="2"/>
      <c r="E403" s="2"/>
      <c r="F403" s="2"/>
    </row>
    <row r="404" ht="15.75" customHeight="1">
      <c r="A404" s="2"/>
      <c r="B404" s="2"/>
      <c r="E404" s="2"/>
      <c r="F404" s="2"/>
    </row>
    <row r="405" ht="15.75" customHeight="1">
      <c r="A405" s="2"/>
      <c r="B405" s="2"/>
      <c r="E405" s="2"/>
      <c r="F405" s="2"/>
    </row>
    <row r="406" ht="15.75" customHeight="1">
      <c r="A406" s="2"/>
      <c r="B406" s="2"/>
      <c r="E406" s="2"/>
      <c r="F406" s="2"/>
    </row>
    <row r="407" ht="15.75" customHeight="1">
      <c r="A407" s="2"/>
      <c r="B407" s="2"/>
      <c r="E407" s="2"/>
      <c r="F407" s="2"/>
    </row>
    <row r="408" ht="15.75" customHeight="1">
      <c r="A408" s="2"/>
      <c r="B408" s="2"/>
      <c r="E408" s="2"/>
      <c r="F408" s="2"/>
    </row>
    <row r="409" ht="15.75" customHeight="1">
      <c r="A409" s="2"/>
      <c r="B409" s="2"/>
      <c r="E409" s="2"/>
      <c r="F409" s="2"/>
    </row>
    <row r="410" ht="15.75" customHeight="1">
      <c r="A410" s="2"/>
      <c r="B410" s="2"/>
      <c r="E410" s="2"/>
      <c r="F410" s="2"/>
    </row>
    <row r="411" ht="15.75" customHeight="1">
      <c r="A411" s="2"/>
      <c r="B411" s="2"/>
      <c r="E411" s="2"/>
      <c r="F411" s="2"/>
    </row>
    <row r="412" ht="15.75" customHeight="1">
      <c r="A412" s="2"/>
      <c r="B412" s="2"/>
      <c r="E412" s="2"/>
      <c r="F412" s="2"/>
    </row>
    <row r="413" ht="15.75" customHeight="1">
      <c r="A413" s="2"/>
      <c r="B413" s="2"/>
      <c r="E413" s="2"/>
      <c r="F413" s="2"/>
    </row>
    <row r="414" ht="15.75" customHeight="1">
      <c r="A414" s="2"/>
      <c r="B414" s="2"/>
      <c r="E414" s="2"/>
      <c r="F414" s="2"/>
    </row>
    <row r="415" ht="15.75" customHeight="1">
      <c r="A415" s="2"/>
      <c r="B415" s="2"/>
      <c r="E415" s="2"/>
      <c r="F415" s="2"/>
    </row>
    <row r="416" ht="15.75" customHeight="1">
      <c r="A416" s="2"/>
      <c r="B416" s="2"/>
      <c r="E416" s="2"/>
      <c r="F416" s="2"/>
    </row>
    <row r="417" ht="15.75" customHeight="1">
      <c r="A417" s="2"/>
      <c r="B417" s="2"/>
      <c r="E417" s="2"/>
      <c r="F417" s="2"/>
    </row>
    <row r="418" ht="15.75" customHeight="1">
      <c r="A418" s="2"/>
      <c r="B418" s="2"/>
      <c r="E418" s="2"/>
      <c r="F418" s="2"/>
    </row>
    <row r="419" ht="15.75" customHeight="1">
      <c r="A419" s="2"/>
      <c r="B419" s="2"/>
      <c r="E419" s="2"/>
      <c r="F419" s="2"/>
    </row>
    <row r="420" ht="15.75" customHeight="1">
      <c r="A420" s="2"/>
      <c r="B420" s="2"/>
      <c r="E420" s="2"/>
      <c r="F420" s="2"/>
    </row>
    <row r="421" ht="15.75" customHeight="1">
      <c r="A421" s="2"/>
      <c r="B421" s="2"/>
      <c r="E421" s="2"/>
      <c r="F421" s="2"/>
    </row>
    <row r="422" ht="15.75" customHeight="1">
      <c r="A422" s="2"/>
      <c r="B422" s="2"/>
      <c r="E422" s="2"/>
      <c r="F422" s="2"/>
    </row>
    <row r="423" ht="15.75" customHeight="1">
      <c r="A423" s="2"/>
      <c r="B423" s="2"/>
      <c r="E423" s="2"/>
      <c r="F423" s="2"/>
    </row>
    <row r="424" ht="15.75" customHeight="1">
      <c r="A424" s="2"/>
      <c r="B424" s="2"/>
      <c r="E424" s="2"/>
      <c r="F424" s="2"/>
    </row>
    <row r="425" ht="15.75" customHeight="1">
      <c r="A425" s="2"/>
      <c r="B425" s="2"/>
      <c r="E425" s="2"/>
      <c r="F425" s="2"/>
    </row>
    <row r="426" ht="15.75" customHeight="1">
      <c r="A426" s="2"/>
      <c r="B426" s="2"/>
      <c r="E426" s="2"/>
      <c r="F426" s="2"/>
    </row>
    <row r="427" ht="15.75" customHeight="1">
      <c r="A427" s="2"/>
      <c r="B427" s="2"/>
      <c r="E427" s="2"/>
      <c r="F427" s="2"/>
    </row>
    <row r="428" ht="15.75" customHeight="1">
      <c r="A428" s="2"/>
      <c r="B428" s="2"/>
      <c r="E428" s="2"/>
      <c r="F428" s="2"/>
    </row>
    <row r="429" ht="15.75" customHeight="1">
      <c r="A429" s="2"/>
      <c r="B429" s="2"/>
      <c r="E429" s="2"/>
      <c r="F429" s="2"/>
    </row>
    <row r="430" ht="15.75" customHeight="1">
      <c r="A430" s="2"/>
      <c r="B430" s="2"/>
      <c r="E430" s="2"/>
      <c r="F430" s="2"/>
    </row>
    <row r="431" ht="15.75" customHeight="1">
      <c r="A431" s="2"/>
      <c r="B431" s="2"/>
      <c r="E431" s="2"/>
      <c r="F431" s="2"/>
    </row>
    <row r="432" ht="15.75" customHeight="1">
      <c r="A432" s="2"/>
      <c r="B432" s="2"/>
      <c r="E432" s="2"/>
      <c r="F432" s="2"/>
    </row>
    <row r="433" ht="15.75" customHeight="1">
      <c r="A433" s="2"/>
      <c r="B433" s="2"/>
      <c r="E433" s="2"/>
      <c r="F433" s="2"/>
    </row>
    <row r="434" ht="15.75" customHeight="1">
      <c r="A434" s="2"/>
      <c r="B434" s="2"/>
      <c r="E434" s="2"/>
      <c r="F434" s="2"/>
    </row>
    <row r="435" ht="15.75" customHeight="1">
      <c r="A435" s="2"/>
      <c r="B435" s="2"/>
      <c r="E435" s="2"/>
      <c r="F435" s="2"/>
    </row>
    <row r="436" ht="15.75" customHeight="1">
      <c r="A436" s="2"/>
      <c r="B436" s="2"/>
      <c r="E436" s="2"/>
      <c r="F436" s="2"/>
    </row>
    <row r="437" ht="15.75" customHeight="1">
      <c r="A437" s="2"/>
      <c r="B437" s="2"/>
      <c r="E437" s="2"/>
      <c r="F437" s="2"/>
    </row>
    <row r="438" ht="15.75" customHeight="1">
      <c r="A438" s="2"/>
      <c r="B438" s="2"/>
      <c r="E438" s="2"/>
      <c r="F438" s="2"/>
    </row>
    <row r="439" ht="15.75" customHeight="1">
      <c r="A439" s="2"/>
      <c r="B439" s="2"/>
      <c r="E439" s="2"/>
      <c r="F439" s="2"/>
    </row>
    <row r="440" ht="15.75" customHeight="1">
      <c r="A440" s="2"/>
      <c r="B440" s="2"/>
      <c r="E440" s="2"/>
      <c r="F440" s="2"/>
    </row>
    <row r="441" ht="15.75" customHeight="1">
      <c r="A441" s="2"/>
      <c r="B441" s="2"/>
      <c r="E441" s="2"/>
      <c r="F441" s="2"/>
    </row>
    <row r="442" ht="15.75" customHeight="1">
      <c r="A442" s="2"/>
      <c r="B442" s="2"/>
      <c r="E442" s="2"/>
      <c r="F442" s="2"/>
    </row>
    <row r="443" ht="15.75" customHeight="1">
      <c r="A443" s="2"/>
      <c r="B443" s="2"/>
      <c r="E443" s="2"/>
      <c r="F443" s="2"/>
    </row>
    <row r="444" ht="15.75" customHeight="1">
      <c r="A444" s="2"/>
      <c r="B444" s="2"/>
      <c r="E444" s="2"/>
      <c r="F444" s="2"/>
    </row>
    <row r="445" ht="15.75" customHeight="1">
      <c r="A445" s="2"/>
      <c r="B445" s="2"/>
      <c r="E445" s="2"/>
      <c r="F445" s="2"/>
    </row>
    <row r="446" ht="15.75" customHeight="1">
      <c r="A446" s="2"/>
      <c r="B446" s="2"/>
      <c r="E446" s="2"/>
      <c r="F446" s="2"/>
    </row>
    <row r="447" ht="15.75" customHeight="1">
      <c r="A447" s="2"/>
      <c r="B447" s="2"/>
      <c r="E447" s="2"/>
      <c r="F447" s="2"/>
    </row>
    <row r="448" ht="15.75" customHeight="1">
      <c r="A448" s="2"/>
      <c r="B448" s="2"/>
      <c r="E448" s="2"/>
      <c r="F448" s="2"/>
    </row>
    <row r="449" ht="15.75" customHeight="1">
      <c r="A449" s="2"/>
      <c r="B449" s="2"/>
      <c r="E449" s="2"/>
      <c r="F449" s="2"/>
    </row>
    <row r="450" ht="15.75" customHeight="1">
      <c r="A450" s="2"/>
      <c r="B450" s="2"/>
      <c r="E450" s="2"/>
      <c r="F450" s="2"/>
    </row>
    <row r="451" ht="15.75" customHeight="1">
      <c r="A451" s="2"/>
      <c r="B451" s="2"/>
      <c r="E451" s="2"/>
      <c r="F451" s="2"/>
    </row>
    <row r="452" ht="15.75" customHeight="1">
      <c r="A452" s="2"/>
      <c r="B452" s="2"/>
      <c r="E452" s="2"/>
      <c r="F452" s="2"/>
    </row>
    <row r="453" ht="15.75" customHeight="1">
      <c r="A453" s="2"/>
      <c r="B453" s="2"/>
      <c r="E453" s="2"/>
      <c r="F453" s="2"/>
    </row>
    <row r="454" ht="15.75" customHeight="1">
      <c r="A454" s="2"/>
      <c r="B454" s="2"/>
      <c r="E454" s="2"/>
      <c r="F454" s="2"/>
    </row>
    <row r="455" ht="15.75" customHeight="1">
      <c r="A455" s="2"/>
      <c r="B455" s="2"/>
      <c r="E455" s="2"/>
      <c r="F455" s="2"/>
    </row>
    <row r="456" ht="15.75" customHeight="1">
      <c r="A456" s="2"/>
      <c r="B456" s="2"/>
      <c r="E456" s="2"/>
      <c r="F456" s="2"/>
    </row>
    <row r="457" ht="15.75" customHeight="1">
      <c r="A457" s="2"/>
      <c r="B457" s="2"/>
      <c r="E457" s="2"/>
      <c r="F457" s="2"/>
    </row>
    <row r="458" ht="15.75" customHeight="1">
      <c r="A458" s="2"/>
      <c r="B458" s="2"/>
      <c r="E458" s="2"/>
      <c r="F458" s="2"/>
    </row>
    <row r="459" ht="15.75" customHeight="1">
      <c r="A459" s="2"/>
      <c r="B459" s="2"/>
      <c r="E459" s="2"/>
      <c r="F459" s="2"/>
    </row>
    <row r="460" ht="15.75" customHeight="1">
      <c r="A460" s="2"/>
      <c r="B460" s="2"/>
      <c r="E460" s="2"/>
      <c r="F460" s="2"/>
    </row>
    <row r="461" ht="15.75" customHeight="1">
      <c r="A461" s="2"/>
      <c r="B461" s="2"/>
      <c r="E461" s="2"/>
      <c r="F461" s="2"/>
    </row>
    <row r="462" ht="15.75" customHeight="1">
      <c r="A462" s="2"/>
      <c r="B462" s="2"/>
      <c r="E462" s="2"/>
      <c r="F462" s="2"/>
    </row>
    <row r="463" ht="15.75" customHeight="1">
      <c r="A463" s="2"/>
      <c r="B463" s="2"/>
      <c r="E463" s="2"/>
      <c r="F463" s="2"/>
    </row>
    <row r="464" ht="15.75" customHeight="1">
      <c r="A464" s="2"/>
      <c r="B464" s="2"/>
      <c r="E464" s="2"/>
      <c r="F464" s="2"/>
    </row>
    <row r="465" ht="15.75" customHeight="1">
      <c r="A465" s="2"/>
      <c r="B465" s="2"/>
      <c r="E465" s="2"/>
      <c r="F465" s="2"/>
    </row>
    <row r="466" ht="15.75" customHeight="1">
      <c r="A466" s="2"/>
      <c r="B466" s="2"/>
      <c r="E466" s="2"/>
      <c r="F466" s="2"/>
    </row>
    <row r="467" ht="15.75" customHeight="1">
      <c r="A467" s="2"/>
      <c r="B467" s="2"/>
      <c r="E467" s="2"/>
      <c r="F467" s="2"/>
    </row>
    <row r="468" ht="15.75" customHeight="1">
      <c r="A468" s="2"/>
      <c r="B468" s="2"/>
      <c r="E468" s="2"/>
      <c r="F468" s="2"/>
    </row>
    <row r="469" ht="15.75" customHeight="1">
      <c r="A469" s="2"/>
      <c r="B469" s="2"/>
      <c r="E469" s="2"/>
      <c r="F469" s="2"/>
    </row>
    <row r="470" ht="15.75" customHeight="1">
      <c r="A470" s="2"/>
      <c r="B470" s="2"/>
      <c r="E470" s="2"/>
      <c r="F470" s="2"/>
    </row>
    <row r="471" ht="15.75" customHeight="1">
      <c r="A471" s="2"/>
      <c r="B471" s="2"/>
      <c r="E471" s="2"/>
      <c r="F471" s="2"/>
    </row>
    <row r="472" ht="15.75" customHeight="1">
      <c r="A472" s="2"/>
      <c r="B472" s="2"/>
      <c r="E472" s="2"/>
      <c r="F472" s="2"/>
    </row>
    <row r="473" ht="15.75" customHeight="1">
      <c r="A473" s="2"/>
      <c r="B473" s="2"/>
      <c r="E473" s="2"/>
      <c r="F473" s="2"/>
    </row>
    <row r="474" ht="15.75" customHeight="1">
      <c r="A474" s="2"/>
      <c r="B474" s="2"/>
      <c r="E474" s="2"/>
      <c r="F474" s="2"/>
    </row>
    <row r="475" ht="15.75" customHeight="1">
      <c r="A475" s="2"/>
      <c r="B475" s="2"/>
      <c r="E475" s="2"/>
      <c r="F475" s="2"/>
    </row>
    <row r="476" ht="15.75" customHeight="1">
      <c r="A476" s="2"/>
      <c r="B476" s="2"/>
      <c r="E476" s="2"/>
      <c r="F476" s="2"/>
    </row>
    <row r="477" ht="15.75" customHeight="1">
      <c r="A477" s="2"/>
      <c r="B477" s="2"/>
      <c r="E477" s="2"/>
      <c r="F477" s="2"/>
    </row>
    <row r="478" ht="15.75" customHeight="1">
      <c r="A478" s="2"/>
      <c r="B478" s="2"/>
      <c r="E478" s="2"/>
      <c r="F478" s="2"/>
    </row>
    <row r="479" ht="15.75" customHeight="1">
      <c r="A479" s="2"/>
      <c r="B479" s="2"/>
      <c r="E479" s="2"/>
      <c r="F479" s="2"/>
    </row>
    <row r="480" ht="15.75" customHeight="1">
      <c r="A480" s="2"/>
      <c r="B480" s="2"/>
      <c r="E480" s="2"/>
      <c r="F480" s="2"/>
    </row>
    <row r="481" ht="15.75" customHeight="1">
      <c r="A481" s="2"/>
      <c r="B481" s="2"/>
      <c r="E481" s="2"/>
      <c r="F481" s="2"/>
    </row>
    <row r="482" ht="15.75" customHeight="1">
      <c r="A482" s="2"/>
      <c r="B482" s="2"/>
      <c r="E482" s="2"/>
      <c r="F482" s="2"/>
    </row>
    <row r="483" ht="15.75" customHeight="1">
      <c r="A483" s="2"/>
      <c r="B483" s="2"/>
      <c r="E483" s="2"/>
      <c r="F483" s="2"/>
    </row>
    <row r="484" ht="15.75" customHeight="1">
      <c r="A484" s="2"/>
      <c r="B484" s="2"/>
      <c r="E484" s="2"/>
      <c r="F484" s="2"/>
    </row>
    <row r="485" ht="15.75" customHeight="1">
      <c r="A485" s="2"/>
      <c r="B485" s="2"/>
      <c r="E485" s="2"/>
      <c r="F485" s="2"/>
    </row>
    <row r="486" ht="15.75" customHeight="1">
      <c r="A486" s="2"/>
      <c r="B486" s="2"/>
      <c r="E486" s="2"/>
      <c r="F486" s="2"/>
    </row>
    <row r="487" ht="15.75" customHeight="1">
      <c r="A487" s="2"/>
      <c r="B487" s="2"/>
      <c r="E487" s="2"/>
      <c r="F487" s="2"/>
    </row>
    <row r="488" ht="15.75" customHeight="1">
      <c r="A488" s="2"/>
      <c r="B488" s="2"/>
      <c r="E488" s="2"/>
      <c r="F488" s="2"/>
    </row>
    <row r="489" ht="15.75" customHeight="1">
      <c r="A489" s="2"/>
      <c r="B489" s="2"/>
      <c r="E489" s="2"/>
      <c r="F489" s="2"/>
    </row>
    <row r="490" ht="15.75" customHeight="1">
      <c r="A490" s="2"/>
      <c r="B490" s="2"/>
      <c r="E490" s="2"/>
      <c r="F490" s="2"/>
    </row>
    <row r="491" ht="15.75" customHeight="1">
      <c r="A491" s="2"/>
      <c r="B491" s="2"/>
      <c r="E491" s="2"/>
      <c r="F491" s="2"/>
    </row>
    <row r="492" ht="15.75" customHeight="1">
      <c r="A492" s="2"/>
      <c r="B492" s="2"/>
      <c r="E492" s="2"/>
      <c r="F492" s="2"/>
    </row>
    <row r="493" ht="15.75" customHeight="1">
      <c r="A493" s="2"/>
      <c r="B493" s="2"/>
      <c r="E493" s="2"/>
      <c r="F493" s="2"/>
    </row>
    <row r="494" ht="15.75" customHeight="1">
      <c r="A494" s="2"/>
      <c r="B494" s="2"/>
      <c r="E494" s="2"/>
      <c r="F494" s="2"/>
    </row>
    <row r="495" ht="15.75" customHeight="1">
      <c r="A495" s="2"/>
      <c r="B495" s="2"/>
      <c r="E495" s="2"/>
      <c r="F495" s="2"/>
    </row>
    <row r="496" ht="15.75" customHeight="1">
      <c r="A496" s="2"/>
      <c r="B496" s="2"/>
      <c r="E496" s="2"/>
      <c r="F496" s="2"/>
    </row>
    <row r="497" ht="15.75" customHeight="1">
      <c r="A497" s="2"/>
      <c r="B497" s="2"/>
      <c r="E497" s="2"/>
      <c r="F497" s="2"/>
    </row>
    <row r="498" ht="15.75" customHeight="1">
      <c r="A498" s="2"/>
      <c r="B498" s="2"/>
      <c r="E498" s="2"/>
      <c r="F498" s="2"/>
    </row>
    <row r="499" ht="15.75" customHeight="1">
      <c r="A499" s="2"/>
      <c r="B499" s="2"/>
      <c r="E499" s="2"/>
      <c r="F499" s="2"/>
    </row>
    <row r="500" ht="15.75" customHeight="1">
      <c r="A500" s="2"/>
      <c r="B500" s="2"/>
      <c r="E500" s="2"/>
      <c r="F500" s="2"/>
    </row>
    <row r="501" ht="15.75" customHeight="1">
      <c r="A501" s="2"/>
      <c r="B501" s="2"/>
      <c r="E501" s="2"/>
      <c r="F501" s="2"/>
    </row>
    <row r="502" ht="15.75" customHeight="1">
      <c r="A502" s="2"/>
      <c r="B502" s="2"/>
      <c r="E502" s="2"/>
      <c r="F502" s="2"/>
    </row>
    <row r="503" ht="15.75" customHeight="1">
      <c r="A503" s="2"/>
      <c r="B503" s="2"/>
      <c r="E503" s="2"/>
      <c r="F503" s="2"/>
    </row>
    <row r="504" ht="15.75" customHeight="1">
      <c r="A504" s="2"/>
      <c r="B504" s="2"/>
      <c r="E504" s="2"/>
      <c r="F504" s="2"/>
    </row>
    <row r="505" ht="15.75" customHeight="1">
      <c r="A505" s="2"/>
      <c r="B505" s="2"/>
      <c r="E505" s="2"/>
      <c r="F505" s="2"/>
    </row>
    <row r="506" ht="15.75" customHeight="1">
      <c r="A506" s="2"/>
      <c r="B506" s="2"/>
      <c r="E506" s="2"/>
      <c r="F506" s="2"/>
    </row>
    <row r="507" ht="15.75" customHeight="1">
      <c r="A507" s="2"/>
      <c r="B507" s="2"/>
      <c r="E507" s="2"/>
      <c r="F507" s="2"/>
    </row>
    <row r="508" ht="15.75" customHeight="1">
      <c r="A508" s="2"/>
      <c r="B508" s="2"/>
      <c r="E508" s="2"/>
      <c r="F508" s="2"/>
    </row>
    <row r="509" ht="15.75" customHeight="1">
      <c r="A509" s="2"/>
      <c r="B509" s="2"/>
      <c r="E509" s="2"/>
      <c r="F509" s="2"/>
    </row>
    <row r="510" ht="15.75" customHeight="1">
      <c r="A510" s="2"/>
      <c r="B510" s="2"/>
      <c r="E510" s="2"/>
      <c r="F510" s="2"/>
    </row>
    <row r="511" ht="15.75" customHeight="1">
      <c r="A511" s="2"/>
      <c r="B511" s="2"/>
      <c r="E511" s="2"/>
      <c r="F511" s="2"/>
    </row>
    <row r="512" ht="15.75" customHeight="1">
      <c r="A512" s="2"/>
      <c r="B512" s="2"/>
      <c r="E512" s="2"/>
      <c r="F512" s="2"/>
    </row>
    <row r="513" ht="15.75" customHeight="1">
      <c r="A513" s="2"/>
      <c r="B513" s="2"/>
      <c r="E513" s="2"/>
      <c r="F513" s="2"/>
    </row>
    <row r="514" ht="15.75" customHeight="1">
      <c r="A514" s="2"/>
      <c r="B514" s="2"/>
      <c r="E514" s="2"/>
      <c r="F514" s="2"/>
    </row>
    <row r="515" ht="15.75" customHeight="1">
      <c r="A515" s="2"/>
      <c r="B515" s="2"/>
      <c r="E515" s="2"/>
      <c r="F515" s="2"/>
    </row>
    <row r="516" ht="15.75" customHeight="1">
      <c r="A516" s="2"/>
      <c r="B516" s="2"/>
      <c r="E516" s="2"/>
      <c r="F516" s="2"/>
    </row>
    <row r="517" ht="15.75" customHeight="1">
      <c r="A517" s="2"/>
      <c r="B517" s="2"/>
      <c r="E517" s="2"/>
      <c r="F517" s="2"/>
    </row>
    <row r="518" ht="15.75" customHeight="1">
      <c r="A518" s="2"/>
      <c r="B518" s="2"/>
      <c r="E518" s="2"/>
      <c r="F518" s="2"/>
    </row>
    <row r="519" ht="15.75" customHeight="1">
      <c r="A519" s="2"/>
      <c r="B519" s="2"/>
      <c r="E519" s="2"/>
      <c r="F519" s="2"/>
    </row>
    <row r="520" ht="15.75" customHeight="1">
      <c r="A520" s="2"/>
      <c r="B520" s="2"/>
      <c r="E520" s="2"/>
      <c r="F520" s="2"/>
    </row>
    <row r="521" ht="15.75" customHeight="1">
      <c r="A521" s="2"/>
      <c r="B521" s="2"/>
      <c r="E521" s="2"/>
      <c r="F521" s="2"/>
    </row>
    <row r="522" ht="15.75" customHeight="1">
      <c r="A522" s="2"/>
      <c r="B522" s="2"/>
      <c r="E522" s="2"/>
      <c r="F522" s="2"/>
    </row>
    <row r="523" ht="15.75" customHeight="1">
      <c r="A523" s="2"/>
      <c r="B523" s="2"/>
      <c r="E523" s="2"/>
      <c r="F523" s="2"/>
    </row>
    <row r="524" ht="15.75" customHeight="1">
      <c r="A524" s="2"/>
      <c r="B524" s="2"/>
      <c r="E524" s="2"/>
      <c r="F524" s="2"/>
    </row>
    <row r="525" ht="15.75" customHeight="1">
      <c r="A525" s="2"/>
      <c r="B525" s="2"/>
      <c r="E525" s="2"/>
      <c r="F525" s="2"/>
    </row>
    <row r="526" ht="15.75" customHeight="1">
      <c r="A526" s="2"/>
      <c r="B526" s="2"/>
      <c r="E526" s="2"/>
      <c r="F526" s="2"/>
    </row>
    <row r="527" ht="15.75" customHeight="1">
      <c r="A527" s="2"/>
      <c r="B527" s="2"/>
      <c r="E527" s="2"/>
      <c r="F527" s="2"/>
    </row>
    <row r="528" ht="15.75" customHeight="1">
      <c r="A528" s="2"/>
      <c r="B528" s="2"/>
      <c r="E528" s="2"/>
      <c r="F528" s="2"/>
    </row>
    <row r="529" ht="15.75" customHeight="1">
      <c r="A529" s="2"/>
      <c r="B529" s="2"/>
      <c r="E529" s="2"/>
      <c r="F529" s="2"/>
    </row>
    <row r="530" ht="15.75" customHeight="1">
      <c r="A530" s="2"/>
      <c r="B530" s="2"/>
      <c r="E530" s="2"/>
      <c r="F530" s="2"/>
    </row>
    <row r="531" ht="15.75" customHeight="1">
      <c r="A531" s="2"/>
      <c r="B531" s="2"/>
      <c r="E531" s="2"/>
      <c r="F531" s="2"/>
    </row>
    <row r="532" ht="15.75" customHeight="1">
      <c r="A532" s="2"/>
      <c r="B532" s="2"/>
      <c r="E532" s="2"/>
      <c r="F532" s="2"/>
    </row>
    <row r="533" ht="15.75" customHeight="1">
      <c r="A533" s="2"/>
      <c r="B533" s="2"/>
      <c r="E533" s="2"/>
      <c r="F533" s="2"/>
    </row>
    <row r="534" ht="15.75" customHeight="1">
      <c r="A534" s="2"/>
      <c r="B534" s="2"/>
      <c r="E534" s="2"/>
      <c r="F534" s="2"/>
    </row>
    <row r="535" ht="15.75" customHeight="1">
      <c r="A535" s="2"/>
      <c r="B535" s="2"/>
      <c r="E535" s="2"/>
      <c r="F535" s="2"/>
    </row>
    <row r="536" ht="15.75" customHeight="1">
      <c r="A536" s="2"/>
      <c r="B536" s="2"/>
      <c r="E536" s="2"/>
      <c r="F536" s="2"/>
    </row>
    <row r="537" ht="15.75" customHeight="1">
      <c r="A537" s="2"/>
      <c r="B537" s="2"/>
      <c r="E537" s="2"/>
      <c r="F537" s="2"/>
    </row>
    <row r="538" ht="15.75" customHeight="1">
      <c r="A538" s="2"/>
      <c r="B538" s="2"/>
      <c r="E538" s="2"/>
      <c r="F538" s="2"/>
    </row>
    <row r="539" ht="15.75" customHeight="1">
      <c r="A539" s="2"/>
      <c r="B539" s="2"/>
      <c r="E539" s="2"/>
      <c r="F539" s="2"/>
    </row>
    <row r="540" ht="15.75" customHeight="1">
      <c r="A540" s="2"/>
      <c r="B540" s="2"/>
      <c r="E540" s="2"/>
      <c r="F540" s="2"/>
    </row>
    <row r="541" ht="15.75" customHeight="1">
      <c r="A541" s="2"/>
      <c r="B541" s="2"/>
      <c r="E541" s="2"/>
      <c r="F541" s="2"/>
    </row>
    <row r="542" ht="15.75" customHeight="1">
      <c r="A542" s="2"/>
      <c r="B542" s="2"/>
      <c r="E542" s="2"/>
      <c r="F542" s="2"/>
    </row>
    <row r="543" ht="15.75" customHeight="1">
      <c r="A543" s="2"/>
      <c r="B543" s="2"/>
      <c r="E543" s="2"/>
      <c r="F543" s="2"/>
    </row>
    <row r="544" ht="15.75" customHeight="1">
      <c r="A544" s="2"/>
      <c r="B544" s="2"/>
      <c r="E544" s="2"/>
      <c r="F544" s="2"/>
    </row>
    <row r="545" ht="15.75" customHeight="1">
      <c r="A545" s="2"/>
      <c r="B545" s="2"/>
      <c r="E545" s="2"/>
      <c r="F545" s="2"/>
    </row>
    <row r="546" ht="15.75" customHeight="1">
      <c r="A546" s="2"/>
      <c r="B546" s="2"/>
      <c r="E546" s="2"/>
      <c r="F546" s="2"/>
    </row>
    <row r="547" ht="15.75" customHeight="1">
      <c r="A547" s="2"/>
      <c r="B547" s="2"/>
      <c r="E547" s="2"/>
      <c r="F547" s="2"/>
    </row>
    <row r="548" ht="15.75" customHeight="1">
      <c r="A548" s="2"/>
      <c r="B548" s="2"/>
      <c r="E548" s="2"/>
      <c r="F548" s="2"/>
    </row>
    <row r="549" ht="15.75" customHeight="1">
      <c r="A549" s="2"/>
      <c r="B549" s="2"/>
      <c r="E549" s="2"/>
      <c r="F549" s="2"/>
    </row>
    <row r="550" ht="15.75" customHeight="1">
      <c r="A550" s="2"/>
      <c r="B550" s="2"/>
      <c r="E550" s="2"/>
      <c r="F550" s="2"/>
    </row>
    <row r="551" ht="15.75" customHeight="1">
      <c r="A551" s="2"/>
      <c r="B551" s="2"/>
      <c r="E551" s="2"/>
      <c r="F551" s="2"/>
    </row>
    <row r="552" ht="15.75" customHeight="1">
      <c r="A552" s="2"/>
      <c r="B552" s="2"/>
      <c r="E552" s="2"/>
      <c r="F552" s="2"/>
    </row>
    <row r="553" ht="15.75" customHeight="1">
      <c r="A553" s="2"/>
      <c r="B553" s="2"/>
      <c r="E553" s="2"/>
      <c r="F553" s="2"/>
    </row>
    <row r="554" ht="15.75" customHeight="1">
      <c r="A554" s="2"/>
      <c r="B554" s="2"/>
      <c r="E554" s="2"/>
      <c r="F554" s="2"/>
    </row>
    <row r="555" ht="15.75" customHeight="1">
      <c r="A555" s="2"/>
      <c r="B555" s="2"/>
      <c r="E555" s="2"/>
      <c r="F555" s="2"/>
    </row>
    <row r="556" ht="15.75" customHeight="1">
      <c r="A556" s="2"/>
      <c r="B556" s="2"/>
      <c r="E556" s="2"/>
      <c r="F556" s="2"/>
    </row>
    <row r="557" ht="15.75" customHeight="1">
      <c r="A557" s="2"/>
      <c r="B557" s="2"/>
      <c r="E557" s="2"/>
      <c r="F557" s="2"/>
    </row>
    <row r="558" ht="15.75" customHeight="1">
      <c r="A558" s="2"/>
      <c r="B558" s="2"/>
      <c r="E558" s="2"/>
      <c r="F558" s="2"/>
    </row>
    <row r="559" ht="15.75" customHeight="1">
      <c r="A559" s="2"/>
      <c r="B559" s="2"/>
      <c r="E559" s="2"/>
      <c r="F559" s="2"/>
    </row>
    <row r="560" ht="15.75" customHeight="1">
      <c r="A560" s="2"/>
      <c r="B560" s="2"/>
      <c r="E560" s="2"/>
      <c r="F560" s="2"/>
    </row>
    <row r="561" ht="15.75" customHeight="1">
      <c r="A561" s="2"/>
      <c r="B561" s="2"/>
      <c r="E561" s="2"/>
      <c r="F561" s="2"/>
    </row>
    <row r="562" ht="15.75" customHeight="1">
      <c r="A562" s="2"/>
      <c r="B562" s="2"/>
      <c r="E562" s="2"/>
      <c r="F562" s="2"/>
    </row>
    <row r="563" ht="15.75" customHeight="1">
      <c r="A563" s="2"/>
      <c r="B563" s="2"/>
      <c r="E563" s="2"/>
      <c r="F563" s="2"/>
    </row>
    <row r="564" ht="15.75" customHeight="1">
      <c r="A564" s="2"/>
      <c r="B564" s="2"/>
      <c r="E564" s="2"/>
      <c r="F564" s="2"/>
    </row>
    <row r="565" ht="15.75" customHeight="1">
      <c r="A565" s="2"/>
      <c r="B565" s="2"/>
      <c r="E565" s="2"/>
      <c r="F565" s="2"/>
    </row>
    <row r="566" ht="15.75" customHeight="1">
      <c r="A566" s="2"/>
      <c r="B566" s="2"/>
      <c r="E566" s="2"/>
      <c r="F566" s="2"/>
    </row>
    <row r="567" ht="15.75" customHeight="1">
      <c r="A567" s="2"/>
      <c r="B567" s="2"/>
      <c r="E567" s="2"/>
      <c r="F567" s="2"/>
    </row>
    <row r="568" ht="15.75" customHeight="1">
      <c r="A568" s="2"/>
      <c r="B568" s="2"/>
      <c r="E568" s="2"/>
      <c r="F568" s="2"/>
    </row>
    <row r="569" ht="15.75" customHeight="1">
      <c r="A569" s="2"/>
      <c r="B569" s="2"/>
      <c r="E569" s="2"/>
      <c r="F569" s="2"/>
    </row>
    <row r="570" ht="15.75" customHeight="1">
      <c r="A570" s="2"/>
      <c r="B570" s="2"/>
      <c r="E570" s="2"/>
      <c r="F570" s="2"/>
    </row>
    <row r="571" ht="15.75" customHeight="1">
      <c r="A571" s="2"/>
      <c r="B571" s="2"/>
      <c r="E571" s="2"/>
      <c r="F571" s="2"/>
    </row>
    <row r="572" ht="15.75" customHeight="1">
      <c r="A572" s="2"/>
      <c r="B572" s="2"/>
      <c r="E572" s="2"/>
      <c r="F572" s="2"/>
    </row>
    <row r="573" ht="15.75" customHeight="1">
      <c r="A573" s="2"/>
      <c r="B573" s="2"/>
      <c r="E573" s="2"/>
      <c r="F573" s="2"/>
    </row>
    <row r="574" ht="15.75" customHeight="1">
      <c r="A574" s="2"/>
      <c r="B574" s="2"/>
      <c r="E574" s="2"/>
      <c r="F574" s="2"/>
    </row>
    <row r="575" ht="15.75" customHeight="1">
      <c r="A575" s="2"/>
      <c r="B575" s="2"/>
      <c r="E575" s="2"/>
      <c r="F575" s="2"/>
    </row>
    <row r="576" ht="15.75" customHeight="1">
      <c r="A576" s="2"/>
      <c r="B576" s="2"/>
      <c r="E576" s="2"/>
      <c r="F576" s="2"/>
    </row>
    <row r="577" ht="15.75" customHeight="1">
      <c r="A577" s="2"/>
      <c r="B577" s="2"/>
      <c r="E577" s="2"/>
      <c r="F577" s="2"/>
    </row>
    <row r="578" ht="15.75" customHeight="1">
      <c r="A578" s="2"/>
      <c r="B578" s="2"/>
      <c r="E578" s="2"/>
      <c r="F578" s="2"/>
    </row>
    <row r="579" ht="15.75" customHeight="1">
      <c r="A579" s="2"/>
      <c r="B579" s="2"/>
      <c r="E579" s="2"/>
      <c r="F579" s="2"/>
    </row>
    <row r="580" ht="15.75" customHeight="1">
      <c r="A580" s="2"/>
      <c r="B580" s="2"/>
      <c r="E580" s="2"/>
      <c r="F580" s="2"/>
    </row>
    <row r="581" ht="15.75" customHeight="1">
      <c r="A581" s="2"/>
      <c r="B581" s="2"/>
      <c r="E581" s="2"/>
      <c r="F581" s="2"/>
    </row>
    <row r="582" ht="15.75" customHeight="1">
      <c r="A582" s="2"/>
      <c r="B582" s="2"/>
      <c r="E582" s="2"/>
      <c r="F582" s="2"/>
    </row>
    <row r="583" ht="15.75" customHeight="1">
      <c r="A583" s="2"/>
      <c r="B583" s="2"/>
      <c r="E583" s="2"/>
      <c r="F583" s="2"/>
    </row>
    <row r="584" ht="15.75" customHeight="1">
      <c r="A584" s="2"/>
      <c r="B584" s="2"/>
      <c r="E584" s="2"/>
      <c r="F584" s="2"/>
    </row>
    <row r="585" ht="15.75" customHeight="1">
      <c r="A585" s="2"/>
      <c r="B585" s="2"/>
      <c r="E585" s="2"/>
      <c r="F585" s="2"/>
    </row>
    <row r="586" ht="15.75" customHeight="1">
      <c r="A586" s="2"/>
      <c r="B586" s="2"/>
      <c r="E586" s="2"/>
      <c r="F586" s="2"/>
    </row>
    <row r="587" ht="15.75" customHeight="1">
      <c r="A587" s="2"/>
      <c r="B587" s="2"/>
      <c r="E587" s="2"/>
      <c r="F587" s="2"/>
    </row>
    <row r="588" ht="15.75" customHeight="1">
      <c r="A588" s="2"/>
      <c r="B588" s="2"/>
      <c r="E588" s="2"/>
      <c r="F588" s="2"/>
    </row>
    <row r="589" ht="15.75" customHeight="1">
      <c r="A589" s="2"/>
      <c r="B589" s="2"/>
      <c r="E589" s="2"/>
      <c r="F589" s="2"/>
    </row>
    <row r="590" ht="15.75" customHeight="1">
      <c r="A590" s="2"/>
      <c r="B590" s="2"/>
      <c r="E590" s="2"/>
      <c r="F590" s="2"/>
    </row>
    <row r="591" ht="15.75" customHeight="1">
      <c r="A591" s="2"/>
      <c r="B591" s="2"/>
      <c r="E591" s="2"/>
      <c r="F591" s="2"/>
    </row>
    <row r="592" ht="15.75" customHeight="1">
      <c r="A592" s="2"/>
      <c r="B592" s="2"/>
      <c r="E592" s="2"/>
      <c r="F592" s="2"/>
    </row>
    <row r="593" ht="15.75" customHeight="1">
      <c r="A593" s="2"/>
      <c r="B593" s="2"/>
      <c r="E593" s="2"/>
      <c r="F593" s="2"/>
    </row>
    <row r="594" ht="15.75" customHeight="1">
      <c r="A594" s="2"/>
      <c r="B594" s="2"/>
      <c r="E594" s="2"/>
      <c r="F594" s="2"/>
    </row>
    <row r="595" ht="15.75" customHeight="1">
      <c r="A595" s="2"/>
      <c r="B595" s="2"/>
      <c r="E595" s="2"/>
      <c r="F595" s="2"/>
    </row>
    <row r="596" ht="15.75" customHeight="1">
      <c r="A596" s="2"/>
      <c r="B596" s="2"/>
      <c r="E596" s="2"/>
      <c r="F596" s="2"/>
    </row>
    <row r="597" ht="15.75" customHeight="1">
      <c r="A597" s="2"/>
      <c r="B597" s="2"/>
      <c r="E597" s="2"/>
      <c r="F597" s="2"/>
    </row>
    <row r="598" ht="15.75" customHeight="1">
      <c r="A598" s="2"/>
      <c r="B598" s="2"/>
      <c r="E598" s="2"/>
      <c r="F598" s="2"/>
    </row>
    <row r="599" ht="15.75" customHeight="1">
      <c r="A599" s="2"/>
      <c r="B599" s="2"/>
      <c r="E599" s="2"/>
      <c r="F599" s="2"/>
    </row>
    <row r="600" ht="15.75" customHeight="1">
      <c r="A600" s="2"/>
      <c r="B600" s="2"/>
      <c r="E600" s="2"/>
      <c r="F600" s="2"/>
    </row>
    <row r="601" ht="15.75" customHeight="1">
      <c r="A601" s="2"/>
      <c r="B601" s="2"/>
      <c r="E601" s="2"/>
      <c r="F601" s="2"/>
    </row>
    <row r="602" ht="15.75" customHeight="1">
      <c r="A602" s="2"/>
      <c r="B602" s="2"/>
      <c r="E602" s="2"/>
      <c r="F602" s="2"/>
    </row>
    <row r="603" ht="15.75" customHeight="1">
      <c r="A603" s="2"/>
      <c r="B603" s="2"/>
      <c r="E603" s="2"/>
      <c r="F603" s="2"/>
    </row>
    <row r="604" ht="15.75" customHeight="1">
      <c r="A604" s="2"/>
      <c r="B604" s="2"/>
      <c r="E604" s="2"/>
      <c r="F604" s="2"/>
    </row>
    <row r="605" ht="15.75" customHeight="1">
      <c r="A605" s="2"/>
      <c r="B605" s="2"/>
      <c r="E605" s="2"/>
      <c r="F605" s="2"/>
    </row>
    <row r="606" ht="15.75" customHeight="1">
      <c r="A606" s="2"/>
      <c r="B606" s="2"/>
      <c r="E606" s="2"/>
      <c r="F606" s="2"/>
    </row>
    <row r="607" ht="15.75" customHeight="1">
      <c r="A607" s="2"/>
      <c r="B607" s="2"/>
      <c r="E607" s="2"/>
      <c r="F607" s="2"/>
    </row>
    <row r="608" ht="15.75" customHeight="1">
      <c r="A608" s="2"/>
      <c r="B608" s="2"/>
      <c r="E608" s="2"/>
      <c r="F608" s="2"/>
    </row>
    <row r="609" ht="15.75" customHeight="1">
      <c r="A609" s="2"/>
      <c r="B609" s="2"/>
      <c r="E609" s="2"/>
      <c r="F609" s="2"/>
    </row>
    <row r="610" ht="15.75" customHeight="1">
      <c r="A610" s="2"/>
      <c r="B610" s="2"/>
      <c r="E610" s="2"/>
      <c r="F610" s="2"/>
    </row>
    <row r="611" ht="15.75" customHeight="1">
      <c r="A611" s="2"/>
      <c r="B611" s="2"/>
      <c r="E611" s="2"/>
      <c r="F611" s="2"/>
    </row>
    <row r="612" ht="15.75" customHeight="1">
      <c r="A612" s="2"/>
      <c r="B612" s="2"/>
      <c r="E612" s="2"/>
      <c r="F612" s="2"/>
    </row>
    <row r="613" ht="15.75" customHeight="1">
      <c r="A613" s="2"/>
      <c r="B613" s="2"/>
      <c r="E613" s="2"/>
      <c r="F613" s="2"/>
    </row>
    <row r="614" ht="15.75" customHeight="1">
      <c r="A614" s="2"/>
      <c r="B614" s="2"/>
      <c r="E614" s="2"/>
      <c r="F614" s="2"/>
    </row>
    <row r="615" ht="15.75" customHeight="1">
      <c r="A615" s="2"/>
      <c r="B615" s="2"/>
      <c r="E615" s="2"/>
      <c r="F615" s="2"/>
    </row>
    <row r="616" ht="15.75" customHeight="1">
      <c r="A616" s="2"/>
      <c r="B616" s="2"/>
      <c r="E616" s="2"/>
      <c r="F616" s="2"/>
    </row>
    <row r="617" ht="15.75" customHeight="1">
      <c r="A617" s="2"/>
      <c r="B617" s="2"/>
      <c r="E617" s="2"/>
      <c r="F617" s="2"/>
    </row>
    <row r="618" ht="15.75" customHeight="1">
      <c r="A618" s="2"/>
      <c r="B618" s="2"/>
      <c r="E618" s="2"/>
      <c r="F618" s="2"/>
    </row>
    <row r="619" ht="15.75" customHeight="1">
      <c r="A619" s="2"/>
      <c r="B619" s="2"/>
      <c r="E619" s="2"/>
      <c r="F619" s="2"/>
    </row>
    <row r="620" ht="15.75" customHeight="1">
      <c r="A620" s="2"/>
      <c r="B620" s="2"/>
      <c r="E620" s="2"/>
      <c r="F620" s="2"/>
    </row>
    <row r="621" ht="15.75" customHeight="1">
      <c r="A621" s="2"/>
      <c r="B621" s="2"/>
      <c r="E621" s="2"/>
      <c r="F621" s="2"/>
    </row>
    <row r="622" ht="15.75" customHeight="1">
      <c r="A622" s="2"/>
      <c r="B622" s="2"/>
      <c r="E622" s="2"/>
      <c r="F622" s="2"/>
    </row>
    <row r="623" ht="15.75" customHeight="1">
      <c r="A623" s="2"/>
      <c r="B623" s="2"/>
      <c r="E623" s="2"/>
      <c r="F623" s="2"/>
    </row>
    <row r="624" ht="15.75" customHeight="1">
      <c r="A624" s="2"/>
      <c r="B624" s="2"/>
      <c r="E624" s="2"/>
      <c r="F624" s="2"/>
    </row>
    <row r="625" ht="15.75" customHeight="1">
      <c r="A625" s="2"/>
      <c r="B625" s="2"/>
      <c r="E625" s="2"/>
      <c r="F625" s="2"/>
    </row>
    <row r="626" ht="15.75" customHeight="1">
      <c r="A626" s="2"/>
      <c r="B626" s="2"/>
      <c r="E626" s="2"/>
      <c r="F626" s="2"/>
    </row>
    <row r="627" ht="15.75" customHeight="1">
      <c r="A627" s="2"/>
      <c r="B627" s="2"/>
      <c r="E627" s="2"/>
      <c r="F627" s="2"/>
    </row>
    <row r="628" ht="15.75" customHeight="1">
      <c r="A628" s="2"/>
      <c r="B628" s="2"/>
      <c r="E628" s="2"/>
      <c r="F628" s="2"/>
    </row>
    <row r="629" ht="15.75" customHeight="1">
      <c r="A629" s="2"/>
      <c r="B629" s="2"/>
      <c r="E629" s="2"/>
      <c r="F629" s="2"/>
    </row>
    <row r="630" ht="15.75" customHeight="1">
      <c r="A630" s="2"/>
      <c r="B630" s="2"/>
      <c r="E630" s="2"/>
      <c r="F630" s="2"/>
    </row>
    <row r="631" ht="15.75" customHeight="1">
      <c r="A631" s="2"/>
      <c r="B631" s="2"/>
      <c r="E631" s="2"/>
      <c r="F631" s="2"/>
    </row>
    <row r="632" ht="15.75" customHeight="1">
      <c r="A632" s="2"/>
      <c r="B632" s="2"/>
      <c r="E632" s="2"/>
      <c r="F632" s="2"/>
    </row>
    <row r="633" ht="15.75" customHeight="1">
      <c r="A633" s="2"/>
      <c r="B633" s="2"/>
      <c r="E633" s="2"/>
      <c r="F633" s="2"/>
    </row>
    <row r="634" ht="15.75" customHeight="1">
      <c r="A634" s="2"/>
      <c r="B634" s="2"/>
      <c r="E634" s="2"/>
      <c r="F634" s="2"/>
    </row>
    <row r="635" ht="15.75" customHeight="1">
      <c r="A635" s="2"/>
      <c r="B635" s="2"/>
      <c r="E635" s="2"/>
      <c r="F635" s="2"/>
    </row>
    <row r="636" ht="15.75" customHeight="1">
      <c r="A636" s="2"/>
      <c r="B636" s="2"/>
      <c r="E636" s="2"/>
      <c r="F636" s="2"/>
    </row>
    <row r="637" ht="15.75" customHeight="1">
      <c r="A637" s="2"/>
      <c r="B637" s="2"/>
      <c r="E637" s="2"/>
      <c r="F637" s="2"/>
    </row>
    <row r="638" ht="15.75" customHeight="1">
      <c r="A638" s="2"/>
      <c r="B638" s="2"/>
      <c r="E638" s="2"/>
      <c r="F638" s="2"/>
    </row>
    <row r="639" ht="15.75" customHeight="1">
      <c r="A639" s="2"/>
      <c r="B639" s="2"/>
      <c r="E639" s="2"/>
      <c r="F639" s="2"/>
    </row>
    <row r="640" ht="15.75" customHeight="1">
      <c r="A640" s="2"/>
      <c r="B640" s="2"/>
      <c r="E640" s="2"/>
      <c r="F640" s="2"/>
    </row>
    <row r="641" ht="15.75" customHeight="1">
      <c r="A641" s="2"/>
      <c r="B641" s="2"/>
      <c r="E641" s="2"/>
      <c r="F641" s="2"/>
    </row>
    <row r="642" ht="15.75" customHeight="1">
      <c r="A642" s="2"/>
      <c r="B642" s="2"/>
      <c r="E642" s="2"/>
      <c r="F642" s="2"/>
    </row>
    <row r="643" ht="15.75" customHeight="1">
      <c r="A643" s="2"/>
      <c r="B643" s="2"/>
      <c r="E643" s="2"/>
      <c r="F643" s="2"/>
    </row>
    <row r="644" ht="15.75" customHeight="1">
      <c r="A644" s="2"/>
      <c r="B644" s="2"/>
      <c r="E644" s="2"/>
      <c r="F644" s="2"/>
    </row>
    <row r="645" ht="15.75" customHeight="1">
      <c r="A645" s="2"/>
      <c r="B645" s="2"/>
      <c r="E645" s="2"/>
      <c r="F645" s="2"/>
    </row>
    <row r="646" ht="15.75" customHeight="1">
      <c r="A646" s="2"/>
      <c r="B646" s="2"/>
      <c r="E646" s="2"/>
      <c r="F646" s="2"/>
    </row>
    <row r="647" ht="15.75" customHeight="1">
      <c r="A647" s="2"/>
      <c r="B647" s="2"/>
      <c r="E647" s="2"/>
      <c r="F647" s="2"/>
    </row>
    <row r="648" ht="15.75" customHeight="1">
      <c r="A648" s="2"/>
      <c r="B648" s="2"/>
      <c r="E648" s="2"/>
      <c r="F648" s="2"/>
    </row>
    <row r="649" ht="15.75" customHeight="1">
      <c r="A649" s="2"/>
      <c r="B649" s="2"/>
      <c r="E649" s="2"/>
      <c r="F649" s="2"/>
    </row>
    <row r="650" ht="15.75" customHeight="1">
      <c r="A650" s="2"/>
      <c r="B650" s="2"/>
      <c r="E650" s="2"/>
      <c r="F650" s="2"/>
    </row>
    <row r="651" ht="15.75" customHeight="1">
      <c r="A651" s="2"/>
      <c r="B651" s="2"/>
      <c r="E651" s="2"/>
      <c r="F651" s="2"/>
    </row>
    <row r="652" ht="15.75" customHeight="1">
      <c r="A652" s="2"/>
      <c r="B652" s="2"/>
      <c r="E652" s="2"/>
      <c r="F652" s="2"/>
    </row>
    <row r="653" ht="15.75" customHeight="1">
      <c r="A653" s="2"/>
      <c r="B653" s="2"/>
      <c r="E653" s="2"/>
      <c r="F653" s="2"/>
    </row>
    <row r="654" ht="15.75" customHeight="1">
      <c r="A654" s="2"/>
      <c r="B654" s="2"/>
      <c r="E654" s="2"/>
      <c r="F654" s="2"/>
    </row>
    <row r="655" ht="15.75" customHeight="1">
      <c r="A655" s="2"/>
      <c r="B655" s="2"/>
      <c r="E655" s="2"/>
      <c r="F655" s="2"/>
    </row>
    <row r="656" ht="15.75" customHeight="1">
      <c r="A656" s="2"/>
      <c r="B656" s="2"/>
      <c r="E656" s="2"/>
      <c r="F656" s="2"/>
    </row>
    <row r="657" ht="15.75" customHeight="1">
      <c r="A657" s="2"/>
      <c r="B657" s="2"/>
      <c r="E657" s="2"/>
      <c r="F657" s="2"/>
    </row>
    <row r="658" ht="15.75" customHeight="1">
      <c r="A658" s="2"/>
      <c r="B658" s="2"/>
      <c r="E658" s="2"/>
      <c r="F658" s="2"/>
    </row>
    <row r="659" ht="15.75" customHeight="1">
      <c r="A659" s="2"/>
      <c r="B659" s="2"/>
      <c r="E659" s="2"/>
      <c r="F659" s="2"/>
    </row>
    <row r="660" ht="15.75" customHeight="1">
      <c r="A660" s="2"/>
      <c r="B660" s="2"/>
      <c r="E660" s="2"/>
      <c r="F660" s="2"/>
    </row>
    <row r="661" ht="15.75" customHeight="1">
      <c r="A661" s="2"/>
      <c r="B661" s="2"/>
      <c r="E661" s="2"/>
      <c r="F661" s="2"/>
    </row>
    <row r="662" ht="15.75" customHeight="1">
      <c r="A662" s="2"/>
      <c r="B662" s="2"/>
      <c r="E662" s="2"/>
      <c r="F662" s="2"/>
    </row>
    <row r="663" ht="15.75" customHeight="1">
      <c r="A663" s="2"/>
      <c r="B663" s="2"/>
      <c r="E663" s="2"/>
      <c r="F663" s="2"/>
    </row>
    <row r="664" ht="15.75" customHeight="1">
      <c r="A664" s="2"/>
      <c r="B664" s="2"/>
      <c r="E664" s="2"/>
      <c r="F664" s="2"/>
    </row>
    <row r="665" ht="15.75" customHeight="1">
      <c r="A665" s="2"/>
      <c r="B665" s="2"/>
      <c r="E665" s="2"/>
      <c r="F665" s="2"/>
    </row>
    <row r="666" ht="15.75" customHeight="1">
      <c r="A666" s="2"/>
      <c r="B666" s="2"/>
      <c r="E666" s="2"/>
      <c r="F666" s="2"/>
    </row>
    <row r="667" ht="15.75" customHeight="1">
      <c r="A667" s="2"/>
      <c r="B667" s="2"/>
      <c r="E667" s="2"/>
      <c r="F667" s="2"/>
    </row>
    <row r="668" ht="15.75" customHeight="1">
      <c r="A668" s="2"/>
      <c r="B668" s="2"/>
      <c r="E668" s="2"/>
      <c r="F668" s="2"/>
    </row>
    <row r="669" ht="15.75" customHeight="1">
      <c r="A669" s="2"/>
      <c r="B669" s="2"/>
      <c r="E669" s="2"/>
      <c r="F669" s="2"/>
    </row>
    <row r="670" ht="15.75" customHeight="1">
      <c r="A670" s="2"/>
      <c r="B670" s="2"/>
      <c r="E670" s="2"/>
      <c r="F670" s="2"/>
    </row>
    <row r="671" ht="15.75" customHeight="1">
      <c r="A671" s="2"/>
      <c r="B671" s="2"/>
      <c r="E671" s="2"/>
      <c r="F671" s="2"/>
    </row>
    <row r="672" ht="15.75" customHeight="1">
      <c r="A672" s="2"/>
      <c r="B672" s="2"/>
      <c r="E672" s="2"/>
      <c r="F672" s="2"/>
    </row>
    <row r="673" ht="15.75" customHeight="1">
      <c r="A673" s="2"/>
      <c r="B673" s="2"/>
      <c r="E673" s="2"/>
      <c r="F673" s="2"/>
    </row>
    <row r="674" ht="15.75" customHeight="1">
      <c r="A674" s="2"/>
      <c r="B674" s="2"/>
      <c r="E674" s="2"/>
      <c r="F674" s="2"/>
    </row>
    <row r="675" ht="15.75" customHeight="1">
      <c r="A675" s="2"/>
      <c r="B675" s="2"/>
      <c r="E675" s="2"/>
      <c r="F675" s="2"/>
    </row>
    <row r="676" ht="15.75" customHeight="1">
      <c r="A676" s="2"/>
      <c r="B676" s="2"/>
      <c r="E676" s="2"/>
      <c r="F676" s="2"/>
    </row>
    <row r="677" ht="15.75" customHeight="1">
      <c r="A677" s="2"/>
      <c r="B677" s="2"/>
      <c r="E677" s="2"/>
      <c r="F677" s="2"/>
    </row>
    <row r="678" ht="15.75" customHeight="1">
      <c r="A678" s="2"/>
      <c r="B678" s="2"/>
      <c r="E678" s="2"/>
      <c r="F678" s="2"/>
    </row>
    <row r="679" ht="15.75" customHeight="1">
      <c r="A679" s="2"/>
      <c r="B679" s="2"/>
      <c r="E679" s="2"/>
      <c r="F679" s="2"/>
    </row>
    <row r="680" ht="15.75" customHeight="1">
      <c r="A680" s="2"/>
      <c r="B680" s="2"/>
      <c r="E680" s="2"/>
      <c r="F680" s="2"/>
    </row>
    <row r="681" ht="15.75" customHeight="1">
      <c r="A681" s="2"/>
      <c r="B681" s="2"/>
      <c r="E681" s="2"/>
      <c r="F681" s="2"/>
    </row>
    <row r="682" ht="15.75" customHeight="1">
      <c r="A682" s="2"/>
      <c r="B682" s="2"/>
      <c r="E682" s="2"/>
      <c r="F682" s="2"/>
    </row>
    <row r="683" ht="15.75" customHeight="1">
      <c r="A683" s="2"/>
      <c r="B683" s="2"/>
      <c r="E683" s="2"/>
      <c r="F683" s="2"/>
    </row>
    <row r="684" ht="15.75" customHeight="1">
      <c r="A684" s="2"/>
      <c r="B684" s="2"/>
      <c r="E684" s="2"/>
      <c r="F684" s="2"/>
    </row>
    <row r="685" ht="15.75" customHeight="1">
      <c r="A685" s="2"/>
      <c r="B685" s="2"/>
      <c r="E685" s="2"/>
      <c r="F685" s="2"/>
    </row>
    <row r="686" ht="15.75" customHeight="1">
      <c r="A686" s="2"/>
      <c r="B686" s="2"/>
      <c r="E686" s="2"/>
      <c r="F686" s="2"/>
    </row>
    <row r="687" ht="15.75" customHeight="1">
      <c r="A687" s="2"/>
      <c r="B687" s="2"/>
      <c r="E687" s="2"/>
      <c r="F687" s="2"/>
    </row>
    <row r="688" ht="15.75" customHeight="1">
      <c r="A688" s="2"/>
      <c r="B688" s="2"/>
      <c r="E688" s="2"/>
      <c r="F688" s="2"/>
    </row>
    <row r="689" ht="15.75" customHeight="1">
      <c r="A689" s="2"/>
      <c r="B689" s="2"/>
      <c r="E689" s="2"/>
      <c r="F689" s="2"/>
    </row>
    <row r="690" ht="15.75" customHeight="1">
      <c r="A690" s="2"/>
      <c r="B690" s="2"/>
      <c r="E690" s="2"/>
      <c r="F690" s="2"/>
    </row>
    <row r="691" ht="15.75" customHeight="1">
      <c r="A691" s="2"/>
      <c r="B691" s="2"/>
      <c r="E691" s="2"/>
      <c r="F691" s="2"/>
    </row>
    <row r="692" ht="15.75" customHeight="1">
      <c r="A692" s="2"/>
      <c r="B692" s="2"/>
      <c r="E692" s="2"/>
      <c r="F692" s="2"/>
    </row>
    <row r="693" ht="15.75" customHeight="1">
      <c r="A693" s="2"/>
      <c r="B693" s="2"/>
      <c r="E693" s="2"/>
      <c r="F693" s="2"/>
    </row>
    <row r="694" ht="15.75" customHeight="1">
      <c r="A694" s="2"/>
      <c r="B694" s="2"/>
      <c r="E694" s="2"/>
      <c r="F694" s="2"/>
    </row>
    <row r="695" ht="15.75" customHeight="1">
      <c r="A695" s="2"/>
      <c r="B695" s="2"/>
      <c r="E695" s="2"/>
      <c r="F695" s="2"/>
    </row>
    <row r="696" ht="15.75" customHeight="1">
      <c r="A696" s="2"/>
      <c r="B696" s="2"/>
      <c r="E696" s="2"/>
      <c r="F696" s="2"/>
    </row>
    <row r="697" ht="15.75" customHeight="1">
      <c r="A697" s="2"/>
      <c r="B697" s="2"/>
      <c r="E697" s="2"/>
      <c r="F697" s="2"/>
    </row>
    <row r="698" ht="15.75" customHeight="1">
      <c r="A698" s="2"/>
      <c r="B698" s="2"/>
      <c r="E698" s="2"/>
      <c r="F698" s="2"/>
    </row>
    <row r="699" ht="15.75" customHeight="1">
      <c r="A699" s="2"/>
      <c r="B699" s="2"/>
      <c r="E699" s="2"/>
      <c r="F699" s="2"/>
    </row>
    <row r="700" ht="15.75" customHeight="1">
      <c r="A700" s="2"/>
      <c r="B700" s="2"/>
      <c r="E700" s="2"/>
      <c r="F700" s="2"/>
    </row>
    <row r="701" ht="15.75" customHeight="1">
      <c r="A701" s="2"/>
      <c r="B701" s="2"/>
      <c r="E701" s="2"/>
      <c r="F701" s="2"/>
    </row>
    <row r="702" ht="15.75" customHeight="1">
      <c r="A702" s="2"/>
      <c r="B702" s="2"/>
      <c r="E702" s="2"/>
      <c r="F702" s="2"/>
    </row>
    <row r="703" ht="15.75" customHeight="1">
      <c r="A703" s="2"/>
      <c r="B703" s="2"/>
      <c r="E703" s="2"/>
      <c r="F703" s="2"/>
    </row>
    <row r="704" ht="15.75" customHeight="1">
      <c r="A704" s="2"/>
      <c r="B704" s="2"/>
      <c r="E704" s="2"/>
      <c r="F704" s="2"/>
    </row>
    <row r="705" ht="15.75" customHeight="1">
      <c r="A705" s="2"/>
      <c r="B705" s="2"/>
      <c r="E705" s="2"/>
      <c r="F705" s="2"/>
    </row>
    <row r="706" ht="15.75" customHeight="1">
      <c r="A706" s="2"/>
      <c r="B706" s="2"/>
      <c r="E706" s="2"/>
      <c r="F706" s="2"/>
    </row>
    <row r="707" ht="15.75" customHeight="1">
      <c r="A707" s="2"/>
      <c r="B707" s="2"/>
      <c r="E707" s="2"/>
      <c r="F707" s="2"/>
    </row>
    <row r="708" ht="15.75" customHeight="1">
      <c r="A708" s="2"/>
      <c r="B708" s="2"/>
      <c r="E708" s="2"/>
      <c r="F708" s="2"/>
    </row>
    <row r="709" ht="15.75" customHeight="1">
      <c r="A709" s="2"/>
      <c r="B709" s="2"/>
      <c r="E709" s="2"/>
      <c r="F709" s="2"/>
    </row>
    <row r="710" ht="15.75" customHeight="1">
      <c r="A710" s="2"/>
      <c r="B710" s="2"/>
      <c r="E710" s="2"/>
      <c r="F710" s="2"/>
    </row>
    <row r="711" ht="15.75" customHeight="1">
      <c r="A711" s="2"/>
      <c r="B711" s="2"/>
      <c r="E711" s="2"/>
      <c r="F711" s="2"/>
    </row>
    <row r="712" ht="15.75" customHeight="1">
      <c r="A712" s="2"/>
      <c r="B712" s="2"/>
      <c r="E712" s="2"/>
      <c r="F712" s="2"/>
    </row>
    <row r="713" ht="15.75" customHeight="1">
      <c r="A713" s="2"/>
      <c r="B713" s="2"/>
      <c r="E713" s="2"/>
      <c r="F713" s="2"/>
    </row>
    <row r="714" ht="15.75" customHeight="1">
      <c r="A714" s="2"/>
      <c r="B714" s="2"/>
      <c r="E714" s="2"/>
      <c r="F714" s="2"/>
    </row>
    <row r="715" ht="15.75" customHeight="1">
      <c r="A715" s="2"/>
      <c r="B715" s="2"/>
      <c r="E715" s="2"/>
      <c r="F715" s="2"/>
    </row>
    <row r="716" ht="15.75" customHeight="1">
      <c r="A716" s="2"/>
      <c r="B716" s="2"/>
      <c r="E716" s="2"/>
      <c r="F716" s="2"/>
    </row>
    <row r="717" ht="15.75" customHeight="1">
      <c r="A717" s="2"/>
      <c r="B717" s="2"/>
      <c r="E717" s="2"/>
      <c r="F717" s="2"/>
    </row>
    <row r="718" ht="15.75" customHeight="1">
      <c r="A718" s="2"/>
      <c r="B718" s="2"/>
      <c r="E718" s="2"/>
      <c r="F718" s="2"/>
    </row>
    <row r="719" ht="15.75" customHeight="1">
      <c r="A719" s="2"/>
      <c r="B719" s="2"/>
      <c r="E719" s="2"/>
      <c r="F719" s="2"/>
    </row>
    <row r="720" ht="15.75" customHeight="1">
      <c r="A720" s="2"/>
      <c r="B720" s="2"/>
      <c r="E720" s="2"/>
      <c r="F720" s="2"/>
    </row>
    <row r="721" ht="15.75" customHeight="1">
      <c r="A721" s="2"/>
      <c r="B721" s="2"/>
      <c r="E721" s="2"/>
      <c r="F721" s="2"/>
    </row>
    <row r="722" ht="15.75" customHeight="1">
      <c r="A722" s="2"/>
      <c r="B722" s="2"/>
      <c r="E722" s="2"/>
      <c r="F722" s="2"/>
    </row>
    <row r="723" ht="15.75" customHeight="1">
      <c r="A723" s="2"/>
      <c r="B723" s="2"/>
      <c r="E723" s="2"/>
      <c r="F723" s="2"/>
    </row>
    <row r="724" ht="15.75" customHeight="1">
      <c r="A724" s="2"/>
      <c r="B724" s="2"/>
      <c r="E724" s="2"/>
      <c r="F724" s="2"/>
    </row>
    <row r="725" ht="15.75" customHeight="1">
      <c r="A725" s="2"/>
      <c r="B725" s="2"/>
      <c r="E725" s="2"/>
      <c r="F725" s="2"/>
    </row>
    <row r="726" ht="15.75" customHeight="1">
      <c r="A726" s="2"/>
      <c r="B726" s="2"/>
      <c r="E726" s="2"/>
      <c r="F726" s="2"/>
    </row>
    <row r="727" ht="15.75" customHeight="1">
      <c r="A727" s="2"/>
      <c r="B727" s="2"/>
      <c r="E727" s="2"/>
      <c r="F727" s="2"/>
    </row>
    <row r="728" ht="15.75" customHeight="1">
      <c r="A728" s="2"/>
      <c r="B728" s="2"/>
      <c r="E728" s="2"/>
      <c r="F728" s="2"/>
    </row>
    <row r="729" ht="15.75" customHeight="1">
      <c r="A729" s="2"/>
      <c r="B729" s="2"/>
      <c r="E729" s="2"/>
      <c r="F729" s="2"/>
    </row>
    <row r="730" ht="15.75" customHeight="1">
      <c r="A730" s="2"/>
      <c r="B730" s="2"/>
      <c r="E730" s="2"/>
      <c r="F730" s="2"/>
    </row>
    <row r="731" ht="15.75" customHeight="1">
      <c r="A731" s="2"/>
      <c r="B731" s="2"/>
      <c r="E731" s="2"/>
      <c r="F731" s="2"/>
    </row>
    <row r="732" ht="15.75" customHeight="1">
      <c r="A732" s="2"/>
      <c r="B732" s="2"/>
      <c r="E732" s="2"/>
      <c r="F732" s="2"/>
    </row>
    <row r="733" ht="15.75" customHeight="1">
      <c r="A733" s="2"/>
      <c r="B733" s="2"/>
      <c r="E733" s="2"/>
      <c r="F733" s="2"/>
    </row>
    <row r="734" ht="15.75" customHeight="1">
      <c r="A734" s="2"/>
      <c r="B734" s="2"/>
      <c r="E734" s="2"/>
      <c r="F734" s="2"/>
    </row>
    <row r="735" ht="15.75" customHeight="1">
      <c r="A735" s="2"/>
      <c r="B735" s="2"/>
      <c r="E735" s="2"/>
      <c r="F735" s="2"/>
    </row>
    <row r="736" ht="15.75" customHeight="1">
      <c r="A736" s="2"/>
      <c r="B736" s="2"/>
      <c r="E736" s="2"/>
      <c r="F736" s="2"/>
    </row>
    <row r="737" ht="15.75" customHeight="1">
      <c r="A737" s="2"/>
      <c r="B737" s="2"/>
      <c r="E737" s="2"/>
      <c r="F737" s="2"/>
    </row>
    <row r="738" ht="15.75" customHeight="1">
      <c r="A738" s="2"/>
      <c r="B738" s="2"/>
      <c r="E738" s="2"/>
      <c r="F738" s="2"/>
    </row>
    <row r="739" ht="15.75" customHeight="1">
      <c r="A739" s="2"/>
      <c r="B739" s="2"/>
      <c r="E739" s="2"/>
      <c r="F739" s="2"/>
    </row>
    <row r="740" ht="15.75" customHeight="1">
      <c r="A740" s="2"/>
      <c r="B740" s="2"/>
      <c r="E740" s="2"/>
      <c r="F740" s="2"/>
    </row>
    <row r="741" ht="15.75" customHeight="1">
      <c r="A741" s="2"/>
      <c r="B741" s="2"/>
      <c r="E741" s="2"/>
      <c r="F741" s="2"/>
    </row>
    <row r="742" ht="15.75" customHeight="1">
      <c r="A742" s="2"/>
      <c r="B742" s="2"/>
      <c r="E742" s="2"/>
      <c r="F742" s="2"/>
    </row>
    <row r="743" ht="15.75" customHeight="1">
      <c r="A743" s="2"/>
      <c r="B743" s="2"/>
      <c r="E743" s="2"/>
      <c r="F743" s="2"/>
    </row>
    <row r="744" ht="15.75" customHeight="1">
      <c r="A744" s="2"/>
      <c r="B744" s="2"/>
      <c r="E744" s="2"/>
      <c r="F744" s="2"/>
    </row>
    <row r="745" ht="15.75" customHeight="1">
      <c r="A745" s="2"/>
      <c r="B745" s="2"/>
      <c r="E745" s="2"/>
      <c r="F745" s="2"/>
    </row>
    <row r="746" ht="15.75" customHeight="1">
      <c r="A746" s="2"/>
      <c r="B746" s="2"/>
      <c r="E746" s="2"/>
      <c r="F746" s="2"/>
    </row>
    <row r="747" ht="15.75" customHeight="1">
      <c r="A747" s="2"/>
      <c r="B747" s="2"/>
      <c r="E747" s="2"/>
      <c r="F747" s="2"/>
    </row>
    <row r="748" ht="15.75" customHeight="1">
      <c r="A748" s="2"/>
      <c r="B748" s="2"/>
      <c r="E748" s="2"/>
      <c r="F748" s="2"/>
    </row>
    <row r="749" ht="15.75" customHeight="1">
      <c r="A749" s="2"/>
      <c r="B749" s="2"/>
      <c r="E749" s="2"/>
      <c r="F749" s="2"/>
    </row>
    <row r="750" ht="15.75" customHeight="1">
      <c r="A750" s="2"/>
      <c r="B750" s="2"/>
      <c r="E750" s="2"/>
      <c r="F750" s="2"/>
    </row>
    <row r="751" ht="15.75" customHeight="1">
      <c r="A751" s="2"/>
      <c r="B751" s="2"/>
      <c r="E751" s="2"/>
      <c r="F751" s="2"/>
    </row>
    <row r="752" ht="15.75" customHeight="1">
      <c r="A752" s="2"/>
      <c r="B752" s="2"/>
      <c r="E752" s="2"/>
      <c r="F752" s="2"/>
    </row>
    <row r="753" ht="15.75" customHeight="1">
      <c r="A753" s="2"/>
      <c r="B753" s="2"/>
      <c r="E753" s="2"/>
      <c r="F753" s="2"/>
    </row>
    <row r="754" ht="15.75" customHeight="1">
      <c r="A754" s="2"/>
      <c r="B754" s="2"/>
      <c r="E754" s="2"/>
      <c r="F754" s="2"/>
    </row>
    <row r="755" ht="15.75" customHeight="1">
      <c r="A755" s="2"/>
      <c r="B755" s="2"/>
      <c r="E755" s="2"/>
      <c r="F755" s="2"/>
    </row>
    <row r="756" ht="15.75" customHeight="1">
      <c r="A756" s="2"/>
      <c r="B756" s="2"/>
      <c r="E756" s="2"/>
      <c r="F756" s="2"/>
    </row>
    <row r="757" ht="15.75" customHeight="1">
      <c r="A757" s="2"/>
      <c r="B757" s="2"/>
      <c r="E757" s="2"/>
      <c r="F757" s="2"/>
    </row>
    <row r="758" ht="15.75" customHeight="1">
      <c r="A758" s="2"/>
      <c r="B758" s="2"/>
      <c r="E758" s="2"/>
      <c r="F758" s="2"/>
    </row>
    <row r="759" ht="15.75" customHeight="1">
      <c r="A759" s="2"/>
      <c r="B759" s="2"/>
      <c r="E759" s="2"/>
      <c r="F759" s="2"/>
    </row>
    <row r="760" ht="15.75" customHeight="1">
      <c r="A760" s="2"/>
      <c r="B760" s="2"/>
      <c r="E760" s="2"/>
      <c r="F760" s="2"/>
    </row>
    <row r="761" ht="15.75" customHeight="1">
      <c r="A761" s="2"/>
      <c r="B761" s="2"/>
      <c r="E761" s="2"/>
      <c r="F761" s="2"/>
    </row>
    <row r="762" ht="15.75" customHeight="1">
      <c r="A762" s="2"/>
      <c r="B762" s="2"/>
      <c r="E762" s="2"/>
      <c r="F762" s="2"/>
    </row>
    <row r="763" ht="15.75" customHeight="1">
      <c r="A763" s="2"/>
      <c r="B763" s="2"/>
      <c r="E763" s="2"/>
      <c r="F763" s="2"/>
    </row>
    <row r="764" ht="15.75" customHeight="1">
      <c r="A764" s="2"/>
      <c r="B764" s="2"/>
      <c r="E764" s="2"/>
      <c r="F764" s="2"/>
    </row>
    <row r="765" ht="15.75" customHeight="1">
      <c r="A765" s="2"/>
      <c r="B765" s="2"/>
      <c r="E765" s="2"/>
      <c r="F765" s="2"/>
    </row>
    <row r="766" ht="15.75" customHeight="1">
      <c r="A766" s="2"/>
      <c r="B766" s="2"/>
      <c r="E766" s="2"/>
      <c r="F766" s="2"/>
    </row>
    <row r="767" ht="15.75" customHeight="1">
      <c r="A767" s="2"/>
      <c r="B767" s="2"/>
      <c r="E767" s="2"/>
      <c r="F767" s="2"/>
    </row>
    <row r="768" ht="15.75" customHeight="1">
      <c r="A768" s="2"/>
      <c r="B768" s="2"/>
      <c r="E768" s="2"/>
      <c r="F768" s="2"/>
    </row>
    <row r="769" ht="15.75" customHeight="1">
      <c r="A769" s="2"/>
      <c r="B769" s="2"/>
      <c r="E769" s="2"/>
      <c r="F769" s="2"/>
    </row>
    <row r="770" ht="15.75" customHeight="1">
      <c r="A770" s="2"/>
      <c r="B770" s="2"/>
      <c r="E770" s="2"/>
      <c r="F770" s="2"/>
    </row>
    <row r="771" ht="15.75" customHeight="1">
      <c r="A771" s="2"/>
      <c r="B771" s="2"/>
      <c r="E771" s="2"/>
      <c r="F771" s="2"/>
    </row>
    <row r="772" ht="15.75" customHeight="1">
      <c r="A772" s="2"/>
      <c r="B772" s="2"/>
      <c r="E772" s="2"/>
      <c r="F772" s="2"/>
    </row>
    <row r="773" ht="15.75" customHeight="1">
      <c r="A773" s="2"/>
      <c r="B773" s="2"/>
      <c r="E773" s="2"/>
      <c r="F773" s="2"/>
    </row>
    <row r="774" ht="15.75" customHeight="1">
      <c r="A774" s="2"/>
      <c r="B774" s="2"/>
      <c r="E774" s="2"/>
      <c r="F774" s="2"/>
    </row>
    <row r="775" ht="15.75" customHeight="1">
      <c r="A775" s="2"/>
      <c r="B775" s="2"/>
      <c r="E775" s="2"/>
      <c r="F775" s="2"/>
    </row>
    <row r="776" ht="15.75" customHeight="1">
      <c r="A776" s="2"/>
      <c r="B776" s="2"/>
      <c r="E776" s="2"/>
      <c r="F776" s="2"/>
    </row>
    <row r="777" ht="15.75" customHeight="1">
      <c r="A777" s="2"/>
      <c r="B777" s="2"/>
      <c r="E777" s="2"/>
      <c r="F777" s="2"/>
    </row>
    <row r="778" ht="15.75" customHeight="1">
      <c r="A778" s="2"/>
      <c r="B778" s="2"/>
      <c r="E778" s="2"/>
      <c r="F778" s="2"/>
    </row>
    <row r="779" ht="15.75" customHeight="1">
      <c r="A779" s="2"/>
      <c r="B779" s="2"/>
      <c r="E779" s="2"/>
      <c r="F779" s="2"/>
    </row>
    <row r="780" ht="15.75" customHeight="1">
      <c r="A780" s="2"/>
      <c r="B780" s="2"/>
      <c r="E780" s="2"/>
      <c r="F780" s="2"/>
    </row>
    <row r="781" ht="15.75" customHeight="1">
      <c r="A781" s="2"/>
      <c r="B781" s="2"/>
      <c r="E781" s="2"/>
      <c r="F781" s="2"/>
    </row>
    <row r="782" ht="15.75" customHeight="1">
      <c r="A782" s="2"/>
      <c r="B782" s="2"/>
      <c r="E782" s="2"/>
      <c r="F782" s="2"/>
    </row>
    <row r="783" ht="15.75" customHeight="1">
      <c r="A783" s="2"/>
      <c r="B783" s="2"/>
      <c r="E783" s="2"/>
      <c r="F783" s="2"/>
    </row>
    <row r="784" ht="15.75" customHeight="1">
      <c r="A784" s="2"/>
      <c r="B784" s="2"/>
      <c r="E784" s="2"/>
      <c r="F784" s="2"/>
    </row>
    <row r="785" ht="15.75" customHeight="1">
      <c r="A785" s="2"/>
      <c r="B785" s="2"/>
      <c r="E785" s="2"/>
      <c r="F785" s="2"/>
    </row>
    <row r="786" ht="15.75" customHeight="1">
      <c r="A786" s="2"/>
      <c r="B786" s="2"/>
      <c r="E786" s="2"/>
      <c r="F786" s="2"/>
    </row>
    <row r="787" ht="15.75" customHeight="1">
      <c r="A787" s="2"/>
      <c r="B787" s="2"/>
      <c r="E787" s="2"/>
      <c r="F787" s="2"/>
    </row>
    <row r="788" ht="15.75" customHeight="1">
      <c r="A788" s="2"/>
      <c r="B788" s="2"/>
      <c r="E788" s="2"/>
      <c r="F788" s="2"/>
    </row>
    <row r="789" ht="15.75" customHeight="1">
      <c r="A789" s="2"/>
      <c r="B789" s="2"/>
      <c r="E789" s="2"/>
      <c r="F789" s="2"/>
    </row>
    <row r="790" ht="15.75" customHeight="1">
      <c r="A790" s="2"/>
      <c r="B790" s="2"/>
      <c r="E790" s="2"/>
      <c r="F790" s="2"/>
    </row>
    <row r="791" ht="15.75" customHeight="1">
      <c r="A791" s="2"/>
      <c r="B791" s="2"/>
      <c r="E791" s="2"/>
      <c r="F791" s="2"/>
    </row>
    <row r="792" ht="15.75" customHeight="1">
      <c r="A792" s="2"/>
      <c r="B792" s="2"/>
      <c r="E792" s="2"/>
      <c r="F792" s="2"/>
    </row>
    <row r="793" ht="15.75" customHeight="1">
      <c r="A793" s="2"/>
      <c r="B793" s="2"/>
      <c r="E793" s="2"/>
      <c r="F793" s="2"/>
    </row>
    <row r="794" ht="15.75" customHeight="1">
      <c r="A794" s="2"/>
      <c r="B794" s="2"/>
      <c r="E794" s="2"/>
      <c r="F794" s="2"/>
    </row>
    <row r="795" ht="15.75" customHeight="1">
      <c r="A795" s="2"/>
      <c r="B795" s="2"/>
      <c r="E795" s="2"/>
      <c r="F795" s="2"/>
    </row>
    <row r="796" ht="15.75" customHeight="1">
      <c r="A796" s="2"/>
      <c r="B796" s="2"/>
      <c r="E796" s="2"/>
      <c r="F796" s="2"/>
    </row>
    <row r="797" ht="15.75" customHeight="1">
      <c r="A797" s="2"/>
      <c r="B797" s="2"/>
      <c r="E797" s="2"/>
      <c r="F797" s="2"/>
    </row>
    <row r="798" ht="15.75" customHeight="1">
      <c r="A798" s="2"/>
      <c r="B798" s="2"/>
      <c r="E798" s="2"/>
      <c r="F798" s="2"/>
    </row>
    <row r="799" ht="15.75" customHeight="1">
      <c r="A799" s="2"/>
      <c r="B799" s="2"/>
      <c r="E799" s="2"/>
      <c r="F799" s="2"/>
    </row>
    <row r="800" ht="15.75" customHeight="1">
      <c r="A800" s="2"/>
      <c r="B800" s="2"/>
      <c r="E800" s="2"/>
      <c r="F800" s="2"/>
    </row>
    <row r="801" ht="15.75" customHeight="1">
      <c r="A801" s="2"/>
      <c r="B801" s="2"/>
      <c r="E801" s="2"/>
      <c r="F801" s="2"/>
    </row>
    <row r="802" ht="15.75" customHeight="1">
      <c r="A802" s="2"/>
      <c r="B802" s="2"/>
      <c r="E802" s="2"/>
      <c r="F802" s="2"/>
    </row>
    <row r="803" ht="15.75" customHeight="1">
      <c r="A803" s="2"/>
      <c r="B803" s="2"/>
      <c r="E803" s="2"/>
      <c r="F803" s="2"/>
    </row>
    <row r="804" ht="15.75" customHeight="1">
      <c r="A804" s="2"/>
      <c r="B804" s="2"/>
      <c r="E804" s="2"/>
      <c r="F804" s="2"/>
    </row>
    <row r="805" ht="15.75" customHeight="1">
      <c r="A805" s="2"/>
      <c r="B805" s="2"/>
      <c r="E805" s="2"/>
      <c r="F805" s="2"/>
    </row>
    <row r="806" ht="15.75" customHeight="1">
      <c r="A806" s="2"/>
      <c r="B806" s="2"/>
      <c r="E806" s="2"/>
      <c r="F806" s="2"/>
    </row>
    <row r="807" ht="15.75" customHeight="1">
      <c r="A807" s="2"/>
      <c r="B807" s="2"/>
      <c r="E807" s="2"/>
      <c r="F807" s="2"/>
    </row>
    <row r="808" ht="15.75" customHeight="1">
      <c r="A808" s="2"/>
      <c r="B808" s="2"/>
      <c r="E808" s="2"/>
      <c r="F808" s="2"/>
    </row>
    <row r="809" ht="15.75" customHeight="1">
      <c r="A809" s="2"/>
      <c r="B809" s="2"/>
      <c r="E809" s="2"/>
      <c r="F809" s="2"/>
    </row>
    <row r="810" ht="15.75" customHeight="1">
      <c r="A810" s="2"/>
      <c r="B810" s="2"/>
      <c r="E810" s="2"/>
      <c r="F810" s="2"/>
    </row>
    <row r="811" ht="15.75" customHeight="1">
      <c r="A811" s="2"/>
      <c r="B811" s="2"/>
      <c r="E811" s="2"/>
      <c r="F811" s="2"/>
    </row>
    <row r="812" ht="15.75" customHeight="1">
      <c r="A812" s="2"/>
      <c r="B812" s="2"/>
      <c r="E812" s="2"/>
      <c r="F812" s="2"/>
    </row>
    <row r="813" ht="15.75" customHeight="1">
      <c r="A813" s="2"/>
      <c r="B813" s="2"/>
      <c r="E813" s="2"/>
      <c r="F813" s="2"/>
    </row>
    <row r="814" ht="15.75" customHeight="1">
      <c r="A814" s="2"/>
      <c r="B814" s="2"/>
      <c r="E814" s="2"/>
      <c r="F814" s="2"/>
    </row>
    <row r="815" ht="15.75" customHeight="1">
      <c r="A815" s="2"/>
      <c r="B815" s="2"/>
      <c r="E815" s="2"/>
      <c r="F815" s="2"/>
    </row>
    <row r="816" ht="15.75" customHeight="1">
      <c r="A816" s="2"/>
      <c r="B816" s="2"/>
      <c r="E816" s="2"/>
      <c r="F816" s="2"/>
    </row>
    <row r="817" ht="15.75" customHeight="1">
      <c r="A817" s="2"/>
      <c r="B817" s="2"/>
      <c r="E817" s="2"/>
      <c r="F817" s="2"/>
    </row>
    <row r="818" ht="15.75" customHeight="1">
      <c r="A818" s="2"/>
      <c r="B818" s="2"/>
      <c r="E818" s="2"/>
      <c r="F818" s="2"/>
    </row>
    <row r="819" ht="15.75" customHeight="1">
      <c r="A819" s="2"/>
      <c r="B819" s="2"/>
      <c r="E819" s="2"/>
      <c r="F819" s="2"/>
    </row>
    <row r="820" ht="15.75" customHeight="1">
      <c r="A820" s="2"/>
      <c r="B820" s="2"/>
      <c r="E820" s="2"/>
      <c r="F820" s="2"/>
    </row>
    <row r="821" ht="15.75" customHeight="1">
      <c r="A821" s="2"/>
      <c r="B821" s="2"/>
      <c r="E821" s="2"/>
      <c r="F821" s="2"/>
    </row>
    <row r="822" ht="15.75" customHeight="1">
      <c r="A822" s="2"/>
      <c r="B822" s="2"/>
      <c r="E822" s="2"/>
      <c r="F822" s="2"/>
    </row>
    <row r="823" ht="15.75" customHeight="1">
      <c r="A823" s="2"/>
      <c r="B823" s="2"/>
      <c r="E823" s="2"/>
      <c r="F823" s="2"/>
    </row>
    <row r="824" ht="15.75" customHeight="1">
      <c r="A824" s="2"/>
      <c r="B824" s="2"/>
      <c r="E824" s="2"/>
      <c r="F824" s="2"/>
    </row>
    <row r="825" ht="15.75" customHeight="1">
      <c r="A825" s="2"/>
      <c r="B825" s="2"/>
      <c r="E825" s="2"/>
      <c r="F825" s="2"/>
    </row>
    <row r="826" ht="15.75" customHeight="1">
      <c r="A826" s="2"/>
      <c r="B826" s="2"/>
      <c r="E826" s="2"/>
      <c r="F826" s="2"/>
    </row>
    <row r="827" ht="15.75" customHeight="1">
      <c r="A827" s="2"/>
      <c r="B827" s="2"/>
      <c r="E827" s="2"/>
      <c r="F827" s="2"/>
    </row>
    <row r="828" ht="15.75" customHeight="1">
      <c r="A828" s="2"/>
      <c r="B828" s="2"/>
      <c r="E828" s="2"/>
      <c r="F828" s="2"/>
    </row>
    <row r="829" ht="15.75" customHeight="1">
      <c r="A829" s="2"/>
      <c r="B829" s="2"/>
      <c r="E829" s="2"/>
      <c r="F829" s="2"/>
    </row>
    <row r="830" ht="15.75" customHeight="1">
      <c r="A830" s="2"/>
      <c r="B830" s="2"/>
      <c r="E830" s="2"/>
      <c r="F830" s="2"/>
    </row>
    <row r="831" ht="15.75" customHeight="1">
      <c r="A831" s="2"/>
      <c r="B831" s="2"/>
      <c r="E831" s="2"/>
      <c r="F831" s="2"/>
    </row>
    <row r="832" ht="15.75" customHeight="1">
      <c r="A832" s="2"/>
      <c r="B832" s="2"/>
      <c r="E832" s="2"/>
      <c r="F832" s="2"/>
    </row>
    <row r="833" ht="15.75" customHeight="1">
      <c r="A833" s="2"/>
      <c r="B833" s="2"/>
      <c r="E833" s="2"/>
      <c r="F833" s="2"/>
    </row>
    <row r="834" ht="15.75" customHeight="1">
      <c r="A834" s="2"/>
      <c r="B834" s="2"/>
      <c r="E834" s="2"/>
      <c r="F834" s="2"/>
    </row>
    <row r="835" ht="15.75" customHeight="1">
      <c r="A835" s="2"/>
      <c r="B835" s="2"/>
      <c r="E835" s="2"/>
      <c r="F835" s="2"/>
    </row>
    <row r="836" ht="15.75" customHeight="1">
      <c r="A836" s="2"/>
      <c r="B836" s="2"/>
      <c r="E836" s="2"/>
      <c r="F836" s="2"/>
    </row>
    <row r="837" ht="15.75" customHeight="1">
      <c r="A837" s="2"/>
      <c r="B837" s="2"/>
      <c r="E837" s="2"/>
      <c r="F837" s="2"/>
    </row>
    <row r="838" ht="15.75" customHeight="1">
      <c r="A838" s="2"/>
      <c r="B838" s="2"/>
      <c r="E838" s="2"/>
      <c r="F838" s="2"/>
    </row>
    <row r="839" ht="15.75" customHeight="1">
      <c r="A839" s="2"/>
      <c r="B839" s="2"/>
      <c r="E839" s="2"/>
      <c r="F839" s="2"/>
    </row>
    <row r="840" ht="15.75" customHeight="1">
      <c r="A840" s="2"/>
      <c r="B840" s="2"/>
      <c r="E840" s="2"/>
      <c r="F840" s="2"/>
    </row>
    <row r="841" ht="15.75" customHeight="1">
      <c r="A841" s="2"/>
      <c r="B841" s="2"/>
      <c r="E841" s="2"/>
      <c r="F841" s="2"/>
    </row>
    <row r="842" ht="15.75" customHeight="1">
      <c r="A842" s="2"/>
      <c r="B842" s="2"/>
      <c r="E842" s="2"/>
      <c r="F842" s="2"/>
    </row>
    <row r="843" ht="15.75" customHeight="1">
      <c r="A843" s="2"/>
      <c r="B843" s="2"/>
      <c r="E843" s="2"/>
      <c r="F843" s="2"/>
    </row>
    <row r="844" ht="15.75" customHeight="1">
      <c r="A844" s="2"/>
      <c r="B844" s="2"/>
      <c r="E844" s="2"/>
      <c r="F844" s="2"/>
    </row>
    <row r="845" ht="15.75" customHeight="1">
      <c r="A845" s="2"/>
      <c r="B845" s="2"/>
      <c r="E845" s="2"/>
      <c r="F845" s="2"/>
    </row>
    <row r="846" ht="15.75" customHeight="1">
      <c r="A846" s="2"/>
      <c r="B846" s="2"/>
      <c r="E846" s="2"/>
      <c r="F846" s="2"/>
    </row>
    <row r="847" ht="15.75" customHeight="1">
      <c r="A847" s="2"/>
      <c r="B847" s="2"/>
      <c r="E847" s="2"/>
      <c r="F847" s="2"/>
    </row>
    <row r="848" ht="15.75" customHeight="1">
      <c r="A848" s="2"/>
      <c r="B848" s="2"/>
      <c r="E848" s="2"/>
      <c r="F848" s="2"/>
    </row>
    <row r="849" ht="15.75" customHeight="1">
      <c r="A849" s="2"/>
      <c r="B849" s="2"/>
      <c r="E849" s="2"/>
      <c r="F849" s="2"/>
    </row>
    <row r="850" ht="15.75" customHeight="1">
      <c r="A850" s="2"/>
      <c r="B850" s="2"/>
      <c r="E850" s="2"/>
      <c r="F850" s="2"/>
    </row>
    <row r="851" ht="15.75" customHeight="1">
      <c r="A851" s="2"/>
      <c r="B851" s="2"/>
      <c r="E851" s="2"/>
      <c r="F851" s="2"/>
    </row>
    <row r="852" ht="15.75" customHeight="1">
      <c r="A852" s="2"/>
      <c r="B852" s="2"/>
      <c r="E852" s="2"/>
      <c r="F852" s="2"/>
    </row>
    <row r="853" ht="15.75" customHeight="1">
      <c r="A853" s="2"/>
      <c r="B853" s="2"/>
      <c r="E853" s="2"/>
      <c r="F853" s="2"/>
    </row>
    <row r="854" ht="15.75" customHeight="1">
      <c r="A854" s="2"/>
      <c r="B854" s="2"/>
      <c r="E854" s="2"/>
      <c r="F854" s="2"/>
    </row>
    <row r="855" ht="15.75" customHeight="1">
      <c r="A855" s="2"/>
      <c r="B855" s="2"/>
      <c r="E855" s="2"/>
      <c r="F855" s="2"/>
    </row>
    <row r="856" ht="15.75" customHeight="1">
      <c r="A856" s="2"/>
      <c r="B856" s="2"/>
      <c r="E856" s="2"/>
      <c r="F856" s="2"/>
    </row>
    <row r="857" ht="15.75" customHeight="1">
      <c r="A857" s="2"/>
      <c r="B857" s="2"/>
      <c r="E857" s="2"/>
      <c r="F857" s="2"/>
    </row>
    <row r="858" ht="15.75" customHeight="1">
      <c r="A858" s="2"/>
      <c r="B858" s="2"/>
      <c r="E858" s="2"/>
      <c r="F858" s="2"/>
    </row>
    <row r="859" ht="15.75" customHeight="1">
      <c r="A859" s="2"/>
      <c r="B859" s="2"/>
      <c r="E859" s="2"/>
      <c r="F859" s="2"/>
    </row>
    <row r="860" ht="15.75" customHeight="1">
      <c r="A860" s="2"/>
      <c r="B860" s="2"/>
      <c r="E860" s="2"/>
      <c r="F860" s="2"/>
    </row>
    <row r="861" ht="15.75" customHeight="1">
      <c r="A861" s="2"/>
      <c r="B861" s="2"/>
      <c r="E861" s="2"/>
      <c r="F861" s="2"/>
    </row>
    <row r="862" ht="15.75" customHeight="1">
      <c r="A862" s="2"/>
      <c r="B862" s="2"/>
      <c r="E862" s="2"/>
      <c r="F862" s="2"/>
    </row>
    <row r="863" ht="15.75" customHeight="1">
      <c r="A863" s="2"/>
      <c r="B863" s="2"/>
      <c r="E863" s="2"/>
      <c r="F863" s="2"/>
    </row>
    <row r="864" ht="15.75" customHeight="1">
      <c r="A864" s="2"/>
      <c r="B864" s="2"/>
      <c r="E864" s="2"/>
      <c r="F864" s="2"/>
    </row>
    <row r="865" ht="15.75" customHeight="1">
      <c r="A865" s="2"/>
      <c r="B865" s="2"/>
      <c r="E865" s="2"/>
      <c r="F865" s="2"/>
    </row>
    <row r="866" ht="15.75" customHeight="1">
      <c r="A866" s="2"/>
      <c r="B866" s="2"/>
      <c r="E866" s="2"/>
      <c r="F866" s="2"/>
    </row>
    <row r="867" ht="15.75" customHeight="1">
      <c r="A867" s="2"/>
      <c r="B867" s="2"/>
      <c r="E867" s="2"/>
      <c r="F867" s="2"/>
    </row>
    <row r="868" ht="15.75" customHeight="1">
      <c r="A868" s="2"/>
      <c r="B868" s="2"/>
      <c r="E868" s="2"/>
      <c r="F868" s="2"/>
    </row>
    <row r="869" ht="15.75" customHeight="1">
      <c r="A869" s="2"/>
      <c r="B869" s="2"/>
      <c r="E869" s="2"/>
      <c r="F869" s="2"/>
    </row>
    <row r="870" ht="15.75" customHeight="1">
      <c r="A870" s="2"/>
      <c r="B870" s="2"/>
      <c r="E870" s="2"/>
      <c r="F870" s="2"/>
    </row>
    <row r="871" ht="15.75" customHeight="1">
      <c r="A871" s="2"/>
      <c r="B871" s="2"/>
      <c r="E871" s="2"/>
      <c r="F871" s="2"/>
    </row>
    <row r="872" ht="15.75" customHeight="1">
      <c r="A872" s="2"/>
      <c r="B872" s="2"/>
      <c r="E872" s="2"/>
      <c r="F872" s="2"/>
    </row>
    <row r="873" ht="15.75" customHeight="1">
      <c r="A873" s="2"/>
      <c r="B873" s="2"/>
      <c r="E873" s="2"/>
      <c r="F873" s="2"/>
    </row>
    <row r="874" ht="15.75" customHeight="1">
      <c r="A874" s="2"/>
      <c r="B874" s="2"/>
      <c r="E874" s="2"/>
      <c r="F874" s="2"/>
    </row>
    <row r="875" ht="15.75" customHeight="1">
      <c r="A875" s="2"/>
      <c r="B875" s="2"/>
      <c r="E875" s="2"/>
      <c r="F875" s="2"/>
    </row>
    <row r="876" ht="15.75" customHeight="1">
      <c r="A876" s="2"/>
      <c r="B876" s="2"/>
      <c r="E876" s="2"/>
      <c r="F876" s="2"/>
    </row>
    <row r="877" ht="15.75" customHeight="1">
      <c r="A877" s="2"/>
      <c r="B877" s="2"/>
      <c r="E877" s="2"/>
      <c r="F877" s="2"/>
    </row>
    <row r="878" ht="15.75" customHeight="1">
      <c r="A878" s="2"/>
      <c r="B878" s="2"/>
      <c r="E878" s="2"/>
      <c r="F878" s="2"/>
    </row>
    <row r="879" ht="15.75" customHeight="1">
      <c r="A879" s="2"/>
      <c r="B879" s="2"/>
      <c r="E879" s="2"/>
      <c r="F879" s="2"/>
    </row>
    <row r="880" ht="15.75" customHeight="1">
      <c r="A880" s="2"/>
      <c r="B880" s="2"/>
      <c r="E880" s="2"/>
      <c r="F880" s="2"/>
    </row>
    <row r="881" ht="15.75" customHeight="1">
      <c r="A881" s="2"/>
      <c r="B881" s="2"/>
      <c r="E881" s="2"/>
      <c r="F881" s="2"/>
    </row>
    <row r="882" ht="15.75" customHeight="1">
      <c r="A882" s="2"/>
      <c r="B882" s="2"/>
      <c r="E882" s="2"/>
      <c r="F882" s="2"/>
    </row>
    <row r="883" ht="15.75" customHeight="1">
      <c r="A883" s="2"/>
      <c r="B883" s="2"/>
      <c r="E883" s="2"/>
      <c r="F883" s="2"/>
    </row>
    <row r="884" ht="15.75" customHeight="1">
      <c r="A884" s="2"/>
      <c r="B884" s="2"/>
      <c r="E884" s="2"/>
      <c r="F884" s="2"/>
    </row>
    <row r="885" ht="15.75" customHeight="1">
      <c r="A885" s="2"/>
      <c r="B885" s="2"/>
      <c r="E885" s="2"/>
      <c r="F885" s="2"/>
    </row>
    <row r="886" ht="15.75" customHeight="1">
      <c r="A886" s="2"/>
      <c r="B886" s="2"/>
      <c r="E886" s="2"/>
      <c r="F886" s="2"/>
    </row>
    <row r="887" ht="15.75" customHeight="1">
      <c r="A887" s="2"/>
      <c r="B887" s="2"/>
      <c r="E887" s="2"/>
      <c r="F887" s="2"/>
    </row>
    <row r="888" ht="15.75" customHeight="1">
      <c r="A888" s="2"/>
      <c r="B888" s="2"/>
      <c r="E888" s="2"/>
      <c r="F888" s="2"/>
    </row>
    <row r="889" ht="15.75" customHeight="1">
      <c r="A889" s="2"/>
      <c r="B889" s="2"/>
      <c r="E889" s="2"/>
      <c r="F889" s="2"/>
    </row>
    <row r="890" ht="15.75" customHeight="1">
      <c r="A890" s="2"/>
      <c r="B890" s="2"/>
      <c r="E890" s="2"/>
      <c r="F890" s="2"/>
    </row>
    <row r="891" ht="15.75" customHeight="1">
      <c r="A891" s="2"/>
      <c r="B891" s="2"/>
      <c r="E891" s="2"/>
      <c r="F891" s="2"/>
    </row>
    <row r="892" ht="15.75" customHeight="1">
      <c r="A892" s="2"/>
      <c r="B892" s="2"/>
      <c r="E892" s="2"/>
      <c r="F892" s="2"/>
    </row>
    <row r="893" ht="15.75" customHeight="1">
      <c r="A893" s="2"/>
      <c r="B893" s="2"/>
      <c r="E893" s="2"/>
      <c r="F893" s="2"/>
    </row>
    <row r="894" ht="15.75" customHeight="1">
      <c r="A894" s="2"/>
      <c r="B894" s="2"/>
      <c r="E894" s="2"/>
      <c r="F894" s="2"/>
    </row>
    <row r="895" ht="15.75" customHeight="1">
      <c r="A895" s="2"/>
      <c r="B895" s="2"/>
      <c r="E895" s="2"/>
      <c r="F895" s="2"/>
    </row>
    <row r="896" ht="15.75" customHeight="1">
      <c r="A896" s="2"/>
      <c r="B896" s="2"/>
      <c r="E896" s="2"/>
      <c r="F896" s="2"/>
    </row>
    <row r="897" ht="15.75" customHeight="1">
      <c r="A897" s="2"/>
      <c r="B897" s="2"/>
      <c r="E897" s="2"/>
      <c r="F897" s="2"/>
    </row>
    <row r="898" ht="15.75" customHeight="1">
      <c r="A898" s="2"/>
      <c r="B898" s="2"/>
      <c r="E898" s="2"/>
      <c r="F898" s="2"/>
    </row>
    <row r="899" ht="15.75" customHeight="1">
      <c r="A899" s="2"/>
      <c r="B899" s="2"/>
      <c r="E899" s="2"/>
      <c r="F899" s="2"/>
    </row>
    <row r="900" ht="15.75" customHeight="1">
      <c r="A900" s="2"/>
      <c r="B900" s="2"/>
      <c r="E900" s="2"/>
      <c r="F900" s="2"/>
    </row>
    <row r="901" ht="15.75" customHeight="1">
      <c r="A901" s="2"/>
      <c r="B901" s="2"/>
      <c r="E901" s="2"/>
      <c r="F901" s="2"/>
    </row>
    <row r="902" ht="15.75" customHeight="1">
      <c r="A902" s="2"/>
      <c r="B902" s="2"/>
      <c r="E902" s="2"/>
      <c r="F902" s="2"/>
    </row>
    <row r="903" ht="15.75" customHeight="1">
      <c r="A903" s="2"/>
      <c r="B903" s="2"/>
      <c r="E903" s="2"/>
      <c r="F903" s="2"/>
    </row>
    <row r="904" ht="15.75" customHeight="1">
      <c r="A904" s="2"/>
      <c r="B904" s="2"/>
      <c r="E904" s="2"/>
      <c r="F904" s="2"/>
    </row>
    <row r="905" ht="15.75" customHeight="1">
      <c r="A905" s="2"/>
      <c r="B905" s="2"/>
      <c r="E905" s="2"/>
      <c r="F905" s="2"/>
    </row>
    <row r="906" ht="15.75" customHeight="1">
      <c r="A906" s="2"/>
      <c r="B906" s="2"/>
      <c r="E906" s="2"/>
      <c r="F906" s="2"/>
    </row>
    <row r="907" ht="15.75" customHeight="1">
      <c r="A907" s="2"/>
      <c r="B907" s="2"/>
      <c r="E907" s="2"/>
      <c r="F907" s="2"/>
    </row>
    <row r="908" ht="15.75" customHeight="1">
      <c r="A908" s="2"/>
      <c r="B908" s="2"/>
      <c r="E908" s="2"/>
      <c r="F908" s="2"/>
    </row>
    <row r="909" ht="15.75" customHeight="1">
      <c r="A909" s="2"/>
      <c r="B909" s="2"/>
      <c r="E909" s="2"/>
      <c r="F909" s="2"/>
    </row>
    <row r="910" ht="15.75" customHeight="1">
      <c r="A910" s="2"/>
      <c r="B910" s="2"/>
      <c r="E910" s="2"/>
      <c r="F910" s="2"/>
    </row>
    <row r="911" ht="15.75" customHeight="1">
      <c r="A911" s="2"/>
      <c r="B911" s="2"/>
      <c r="E911" s="2"/>
      <c r="F911" s="2"/>
    </row>
    <row r="912" ht="15.75" customHeight="1">
      <c r="A912" s="2"/>
      <c r="B912" s="2"/>
      <c r="E912" s="2"/>
      <c r="F912" s="2"/>
    </row>
    <row r="913" ht="15.75" customHeight="1">
      <c r="A913" s="2"/>
      <c r="B913" s="2"/>
      <c r="E913" s="2"/>
      <c r="F913" s="2"/>
    </row>
    <row r="914" ht="15.75" customHeight="1">
      <c r="A914" s="2"/>
      <c r="B914" s="2"/>
      <c r="E914" s="2"/>
      <c r="F914" s="2"/>
    </row>
    <row r="915" ht="15.75" customHeight="1">
      <c r="A915" s="2"/>
      <c r="B915" s="2"/>
      <c r="E915" s="2"/>
      <c r="F915" s="2"/>
    </row>
    <row r="916" ht="15.75" customHeight="1">
      <c r="A916" s="2"/>
      <c r="B916" s="2"/>
      <c r="E916" s="2"/>
      <c r="F916" s="2"/>
    </row>
    <row r="917" ht="15.75" customHeight="1">
      <c r="A917" s="2"/>
      <c r="B917" s="2"/>
      <c r="E917" s="2"/>
      <c r="F917" s="2"/>
    </row>
    <row r="918" ht="15.75" customHeight="1">
      <c r="A918" s="2"/>
      <c r="B918" s="2"/>
      <c r="E918" s="2"/>
      <c r="F918" s="2"/>
    </row>
    <row r="919" ht="15.75" customHeight="1">
      <c r="A919" s="2"/>
      <c r="B919" s="2"/>
      <c r="E919" s="2"/>
      <c r="F919" s="2"/>
    </row>
    <row r="920" ht="15.75" customHeight="1">
      <c r="A920" s="2"/>
      <c r="B920" s="2"/>
      <c r="E920" s="2"/>
      <c r="F920" s="2"/>
    </row>
    <row r="921" ht="15.75" customHeight="1">
      <c r="A921" s="2"/>
      <c r="B921" s="2"/>
      <c r="E921" s="2"/>
      <c r="F921" s="2"/>
    </row>
    <row r="922" ht="15.75" customHeight="1">
      <c r="A922" s="2"/>
      <c r="B922" s="2"/>
      <c r="E922" s="2"/>
      <c r="F922" s="2"/>
    </row>
    <row r="923" ht="15.75" customHeight="1">
      <c r="A923" s="2"/>
      <c r="B923" s="2"/>
      <c r="E923" s="2"/>
      <c r="F923" s="2"/>
    </row>
    <row r="924" ht="15.75" customHeight="1">
      <c r="A924" s="2"/>
      <c r="B924" s="2"/>
      <c r="E924" s="2"/>
      <c r="F924" s="2"/>
    </row>
    <row r="925" ht="15.75" customHeight="1">
      <c r="A925" s="2"/>
      <c r="B925" s="2"/>
      <c r="E925" s="2"/>
      <c r="F925" s="2"/>
    </row>
    <row r="926" ht="15.75" customHeight="1">
      <c r="A926" s="2"/>
      <c r="B926" s="2"/>
      <c r="E926" s="2"/>
      <c r="F926" s="2"/>
    </row>
    <row r="927" ht="15.75" customHeight="1">
      <c r="A927" s="2"/>
      <c r="B927" s="2"/>
      <c r="E927" s="2"/>
      <c r="F927" s="2"/>
    </row>
    <row r="928" ht="15.75" customHeight="1">
      <c r="A928" s="2"/>
      <c r="B928" s="2"/>
      <c r="E928" s="2"/>
      <c r="F928" s="2"/>
    </row>
    <row r="929" ht="15.75" customHeight="1">
      <c r="A929" s="2"/>
      <c r="B929" s="2"/>
      <c r="E929" s="2"/>
      <c r="F929" s="2"/>
    </row>
    <row r="930" ht="15.75" customHeight="1">
      <c r="A930" s="2"/>
      <c r="B930" s="2"/>
      <c r="E930" s="2"/>
      <c r="F930" s="2"/>
    </row>
    <row r="931" ht="15.75" customHeight="1">
      <c r="A931" s="2"/>
      <c r="B931" s="2"/>
      <c r="E931" s="2"/>
      <c r="F931" s="2"/>
    </row>
    <row r="932" ht="15.75" customHeight="1">
      <c r="A932" s="2"/>
      <c r="B932" s="2"/>
      <c r="E932" s="2"/>
      <c r="F932" s="2"/>
    </row>
    <row r="933" ht="15.75" customHeight="1">
      <c r="A933" s="2"/>
      <c r="B933" s="2"/>
      <c r="E933" s="2"/>
      <c r="F933" s="2"/>
    </row>
    <row r="934" ht="15.75" customHeight="1">
      <c r="A934" s="2"/>
      <c r="B934" s="2"/>
      <c r="E934" s="2"/>
      <c r="F934" s="2"/>
    </row>
    <row r="935" ht="15.75" customHeight="1">
      <c r="A935" s="2"/>
      <c r="B935" s="2"/>
      <c r="E935" s="2"/>
      <c r="F935" s="2"/>
    </row>
    <row r="936" ht="15.75" customHeight="1">
      <c r="A936" s="2"/>
      <c r="B936" s="2"/>
      <c r="E936" s="2"/>
      <c r="F936" s="2"/>
    </row>
    <row r="937" ht="15.75" customHeight="1">
      <c r="A937" s="2"/>
      <c r="B937" s="2"/>
      <c r="E937" s="2"/>
      <c r="F937" s="2"/>
    </row>
    <row r="938" ht="15.75" customHeight="1">
      <c r="A938" s="2"/>
      <c r="B938" s="2"/>
      <c r="E938" s="2"/>
      <c r="F938" s="2"/>
    </row>
    <row r="939" ht="15.75" customHeight="1">
      <c r="A939" s="2"/>
      <c r="B939" s="2"/>
      <c r="E939" s="2"/>
      <c r="F939" s="2"/>
    </row>
    <row r="940" ht="15.75" customHeight="1">
      <c r="A940" s="2"/>
      <c r="B940" s="2"/>
      <c r="E940" s="2"/>
      <c r="F940" s="2"/>
    </row>
    <row r="941" ht="15.75" customHeight="1">
      <c r="A941" s="2"/>
      <c r="B941" s="2"/>
      <c r="E941" s="2"/>
      <c r="F941" s="2"/>
    </row>
    <row r="942" ht="15.75" customHeight="1">
      <c r="A942" s="2"/>
      <c r="B942" s="2"/>
      <c r="E942" s="2"/>
      <c r="F942" s="2"/>
    </row>
    <row r="943" ht="15.75" customHeight="1">
      <c r="A943" s="2"/>
      <c r="B943" s="2"/>
      <c r="E943" s="2"/>
      <c r="F943" s="2"/>
    </row>
    <row r="944" ht="15.75" customHeight="1">
      <c r="A944" s="2"/>
      <c r="B944" s="2"/>
      <c r="E944" s="2"/>
      <c r="F944" s="2"/>
    </row>
    <row r="945" ht="15.75" customHeight="1">
      <c r="A945" s="2"/>
      <c r="B945" s="2"/>
      <c r="E945" s="2"/>
      <c r="F945" s="2"/>
    </row>
    <row r="946" ht="15.75" customHeight="1">
      <c r="A946" s="2"/>
      <c r="B946" s="2"/>
      <c r="E946" s="2"/>
      <c r="F946" s="2"/>
    </row>
    <row r="947" ht="15.75" customHeight="1">
      <c r="A947" s="2"/>
      <c r="B947" s="2"/>
      <c r="E947" s="2"/>
      <c r="F947" s="2"/>
    </row>
    <row r="948" ht="15.75" customHeight="1">
      <c r="A948" s="2"/>
      <c r="B948" s="2"/>
      <c r="E948" s="2"/>
      <c r="F948" s="2"/>
    </row>
    <row r="949" ht="15.75" customHeight="1">
      <c r="A949" s="2"/>
      <c r="B949" s="2"/>
      <c r="E949" s="2"/>
      <c r="F949" s="2"/>
    </row>
    <row r="950" ht="15.75" customHeight="1">
      <c r="A950" s="2"/>
      <c r="B950" s="2"/>
      <c r="E950" s="2"/>
      <c r="F950" s="2"/>
    </row>
    <row r="951" ht="15.75" customHeight="1">
      <c r="A951" s="2"/>
      <c r="B951" s="2"/>
      <c r="E951" s="2"/>
      <c r="F951" s="2"/>
    </row>
    <row r="952" ht="15.75" customHeight="1">
      <c r="A952" s="2"/>
      <c r="B952" s="2"/>
      <c r="E952" s="2"/>
      <c r="F952" s="2"/>
    </row>
    <row r="953" ht="15.75" customHeight="1">
      <c r="A953" s="2"/>
      <c r="B953" s="2"/>
      <c r="E953" s="2"/>
      <c r="F953" s="2"/>
    </row>
    <row r="954" ht="15.75" customHeight="1">
      <c r="A954" s="2"/>
      <c r="B954" s="2"/>
      <c r="E954" s="2"/>
      <c r="F954" s="2"/>
    </row>
    <row r="955" ht="15.75" customHeight="1">
      <c r="A955" s="2"/>
      <c r="B955" s="2"/>
      <c r="E955" s="2"/>
      <c r="F955" s="2"/>
    </row>
    <row r="956" ht="15.75" customHeight="1">
      <c r="A956" s="2"/>
      <c r="B956" s="2"/>
      <c r="E956" s="2"/>
      <c r="F956" s="2"/>
    </row>
    <row r="957" ht="15.75" customHeight="1">
      <c r="A957" s="2"/>
      <c r="B957" s="2"/>
      <c r="E957" s="2"/>
      <c r="F957" s="2"/>
    </row>
    <row r="958" ht="15.75" customHeight="1">
      <c r="A958" s="2"/>
      <c r="B958" s="2"/>
      <c r="E958" s="2"/>
      <c r="F958" s="2"/>
    </row>
    <row r="959" ht="15.75" customHeight="1">
      <c r="A959" s="2"/>
      <c r="B959" s="2"/>
      <c r="E959" s="2"/>
      <c r="F959" s="2"/>
    </row>
    <row r="960" ht="15.75" customHeight="1">
      <c r="A960" s="2"/>
      <c r="B960" s="2"/>
      <c r="E960" s="2"/>
      <c r="F960" s="2"/>
    </row>
    <row r="961" ht="15.75" customHeight="1">
      <c r="A961" s="2"/>
      <c r="B961" s="2"/>
      <c r="E961" s="2"/>
      <c r="F961" s="2"/>
    </row>
    <row r="962" ht="15.75" customHeight="1">
      <c r="A962" s="2"/>
      <c r="B962" s="2"/>
      <c r="E962" s="2"/>
      <c r="F962" s="2"/>
    </row>
    <row r="963" ht="15.75" customHeight="1">
      <c r="A963" s="2"/>
      <c r="B963" s="2"/>
      <c r="E963" s="2"/>
      <c r="F963" s="2"/>
    </row>
    <row r="964" ht="15.75" customHeight="1">
      <c r="A964" s="2"/>
      <c r="B964" s="2"/>
      <c r="E964" s="2"/>
      <c r="F964" s="2"/>
    </row>
    <row r="965" ht="15.75" customHeight="1">
      <c r="A965" s="2"/>
      <c r="B965" s="2"/>
      <c r="E965" s="2"/>
      <c r="F965" s="2"/>
    </row>
    <row r="966" ht="15.75" customHeight="1">
      <c r="A966" s="2"/>
      <c r="B966" s="2"/>
      <c r="E966" s="2"/>
      <c r="F966" s="2"/>
    </row>
    <row r="967" ht="15.75" customHeight="1">
      <c r="A967" s="2"/>
      <c r="B967" s="2"/>
      <c r="E967" s="2"/>
      <c r="F967" s="2"/>
    </row>
    <row r="968" ht="15.75" customHeight="1">
      <c r="A968" s="2"/>
      <c r="B968" s="2"/>
      <c r="E968" s="2"/>
      <c r="F968" s="2"/>
    </row>
    <row r="969" ht="15.75" customHeight="1">
      <c r="A969" s="2"/>
      <c r="B969" s="2"/>
      <c r="E969" s="2"/>
      <c r="F969" s="2"/>
    </row>
    <row r="970" ht="15.75" customHeight="1">
      <c r="A970" s="2"/>
      <c r="B970" s="2"/>
      <c r="E970" s="2"/>
      <c r="F970" s="2"/>
    </row>
    <row r="971" ht="15.75" customHeight="1">
      <c r="A971" s="2"/>
      <c r="B971" s="2"/>
      <c r="E971" s="2"/>
      <c r="F971" s="2"/>
    </row>
    <row r="972" ht="15.75" customHeight="1">
      <c r="A972" s="2"/>
      <c r="B972" s="2"/>
      <c r="E972" s="2"/>
      <c r="F972" s="2"/>
    </row>
    <row r="973" ht="15.75" customHeight="1">
      <c r="A973" s="2"/>
      <c r="B973" s="2"/>
      <c r="E973" s="2"/>
      <c r="F973" s="2"/>
    </row>
    <row r="974" ht="15.75" customHeight="1">
      <c r="A974" s="2"/>
      <c r="B974" s="2"/>
      <c r="E974" s="2"/>
      <c r="F974" s="2"/>
    </row>
    <row r="975" ht="15.75" customHeight="1">
      <c r="A975" s="2"/>
      <c r="B975" s="2"/>
      <c r="E975" s="2"/>
      <c r="F975" s="2"/>
    </row>
    <row r="976" ht="15.75" customHeight="1">
      <c r="A976" s="2"/>
      <c r="B976" s="2"/>
      <c r="E976" s="2"/>
      <c r="F976" s="2"/>
    </row>
    <row r="977" ht="15.75" customHeight="1">
      <c r="A977" s="2"/>
      <c r="B977" s="2"/>
      <c r="E977" s="2"/>
      <c r="F977" s="2"/>
    </row>
    <row r="978" ht="15.75" customHeight="1">
      <c r="A978" s="2"/>
      <c r="B978" s="2"/>
      <c r="E978" s="2"/>
      <c r="F978" s="2"/>
    </row>
    <row r="979" ht="15.75" customHeight="1">
      <c r="A979" s="2"/>
      <c r="B979" s="2"/>
      <c r="E979" s="2"/>
      <c r="F979" s="2"/>
    </row>
    <row r="980" ht="15.75" customHeight="1">
      <c r="A980" s="2"/>
      <c r="B980" s="2"/>
      <c r="E980" s="2"/>
      <c r="F980" s="2"/>
    </row>
    <row r="981" ht="15.75" customHeight="1">
      <c r="A981" s="2"/>
      <c r="B981" s="2"/>
      <c r="E981" s="2"/>
      <c r="F981" s="2"/>
    </row>
    <row r="982" ht="15.75" customHeight="1">
      <c r="A982" s="2"/>
      <c r="B982" s="2"/>
      <c r="E982" s="2"/>
      <c r="F982" s="2"/>
    </row>
    <row r="983" ht="15.75" customHeight="1">
      <c r="A983" s="2"/>
      <c r="B983" s="2"/>
      <c r="E983" s="2"/>
      <c r="F983" s="2"/>
    </row>
    <row r="984" ht="15.75" customHeight="1">
      <c r="A984" s="2"/>
      <c r="B984" s="2"/>
      <c r="E984" s="2"/>
      <c r="F984" s="2"/>
    </row>
    <row r="985" ht="15.75" customHeight="1">
      <c r="A985" s="2"/>
      <c r="B985" s="2"/>
      <c r="E985" s="2"/>
      <c r="F985" s="2"/>
    </row>
    <row r="986" ht="15.75" customHeight="1">
      <c r="A986" s="2"/>
      <c r="B986" s="2"/>
      <c r="E986" s="2"/>
      <c r="F986" s="2"/>
    </row>
    <row r="987" ht="15.75" customHeight="1">
      <c r="A987" s="2"/>
      <c r="B987" s="2"/>
      <c r="E987" s="2"/>
      <c r="F987" s="2"/>
    </row>
    <row r="988" ht="15.75" customHeight="1">
      <c r="A988" s="2"/>
      <c r="B988" s="2"/>
      <c r="E988" s="2"/>
      <c r="F988" s="2"/>
    </row>
    <row r="989" ht="15.75" customHeight="1">
      <c r="A989" s="2"/>
      <c r="B989" s="2"/>
      <c r="E989" s="2"/>
      <c r="F989" s="2"/>
    </row>
    <row r="990" ht="15.75" customHeight="1">
      <c r="A990" s="2"/>
      <c r="B990" s="2"/>
      <c r="E990" s="2"/>
      <c r="F990" s="2"/>
    </row>
    <row r="991" ht="15.75" customHeight="1">
      <c r="A991" s="2"/>
      <c r="B991" s="2"/>
      <c r="E991" s="2"/>
      <c r="F991" s="2"/>
    </row>
    <row r="992" ht="15.75" customHeight="1">
      <c r="A992" s="2"/>
      <c r="B992" s="2"/>
      <c r="E992" s="2"/>
      <c r="F992" s="2"/>
    </row>
    <row r="993" ht="15.75" customHeight="1">
      <c r="A993" s="2"/>
      <c r="B993" s="2"/>
      <c r="E993" s="2"/>
      <c r="F993" s="2"/>
    </row>
    <row r="994" ht="15.75" customHeight="1">
      <c r="A994" s="2"/>
      <c r="B994" s="2"/>
      <c r="E994" s="2"/>
      <c r="F994" s="2"/>
    </row>
    <row r="995" ht="15.75" customHeight="1">
      <c r="A995" s="2"/>
      <c r="B995" s="2"/>
      <c r="E995" s="2"/>
      <c r="F995" s="2"/>
    </row>
    <row r="996" ht="15.75" customHeight="1">
      <c r="A996" s="2"/>
      <c r="B996" s="2"/>
      <c r="E996" s="2"/>
      <c r="F996" s="2"/>
    </row>
    <row r="997" ht="15.75" customHeight="1">
      <c r="A997" s="2"/>
      <c r="B997" s="2"/>
      <c r="E997" s="2"/>
      <c r="F997" s="2"/>
    </row>
    <row r="998" ht="15.75" customHeight="1">
      <c r="A998" s="2"/>
      <c r="B998" s="2"/>
      <c r="E998" s="2"/>
      <c r="F998" s="2"/>
    </row>
    <row r="999" ht="15.75" customHeight="1">
      <c r="A999" s="2"/>
      <c r="B999" s="2"/>
      <c r="E999" s="2"/>
      <c r="F999" s="2"/>
    </row>
    <row r="1000" ht="15.75" customHeight="1">
      <c r="A1000" s="2"/>
      <c r="B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8.0"/>
    <col customWidth="1" min="3" max="3" width="35.0"/>
    <col customWidth="1" min="4" max="26" width="8.71"/>
  </cols>
  <sheetData>
    <row r="1" ht="21.75" customHeight="1">
      <c r="A1" s="7" t="s">
        <v>174</v>
      </c>
      <c r="B1" s="2"/>
      <c r="C1" s="2"/>
    </row>
    <row r="2" ht="15.0" customHeight="1">
      <c r="A2" s="8" t="s">
        <v>175</v>
      </c>
      <c r="B2" s="2"/>
      <c r="C2" s="2"/>
    </row>
    <row r="3">
      <c r="A3" s="2"/>
      <c r="B3" s="2"/>
      <c r="C3" s="2"/>
    </row>
    <row r="4" ht="17.25" customHeight="1">
      <c r="A4" s="1" t="s">
        <v>176</v>
      </c>
      <c r="B4" s="2"/>
      <c r="C4" s="2"/>
    </row>
    <row r="5" ht="15.0" customHeight="1">
      <c r="A5" s="4" t="s">
        <v>177</v>
      </c>
      <c r="B5" s="2"/>
      <c r="C5" s="2"/>
    </row>
    <row r="6" ht="15.0" customHeight="1">
      <c r="A6" s="2" t="s">
        <v>178</v>
      </c>
      <c r="B6" s="38">
        <v>1180640.0</v>
      </c>
      <c r="C6" s="12" t="s">
        <v>179</v>
      </c>
    </row>
    <row r="7" ht="15.0" customHeight="1">
      <c r="A7" s="2" t="s">
        <v>180</v>
      </c>
      <c r="B7" s="39">
        <v>650000.0</v>
      </c>
      <c r="C7" s="12" t="s">
        <v>181</v>
      </c>
    </row>
    <row r="8" ht="15.0" customHeight="1">
      <c r="A8" s="4" t="s">
        <v>182</v>
      </c>
      <c r="B8" s="40">
        <f>SUM(B6:B7)</f>
        <v>1830640</v>
      </c>
      <c r="C8" s="2"/>
    </row>
    <row r="9">
      <c r="A9" s="2"/>
      <c r="B9" s="2"/>
      <c r="C9" s="2"/>
    </row>
    <row r="10" ht="15.0" customHeight="1">
      <c r="A10" s="4" t="s">
        <v>183</v>
      </c>
      <c r="B10" s="2"/>
      <c r="C10" s="2"/>
    </row>
    <row r="11" ht="15.0" customHeight="1">
      <c r="A11" s="2" t="s">
        <v>184</v>
      </c>
      <c r="B11" s="39">
        <v>1000.0</v>
      </c>
      <c r="C11" s="12" t="s">
        <v>185</v>
      </c>
    </row>
    <row r="12" ht="15.0" customHeight="1">
      <c r="A12" s="2" t="s">
        <v>186</v>
      </c>
      <c r="B12" s="39">
        <v>25000.0</v>
      </c>
      <c r="C12" s="12" t="s">
        <v>89</v>
      </c>
    </row>
    <row r="13" ht="15.0" customHeight="1">
      <c r="A13" s="2" t="s">
        <v>187</v>
      </c>
      <c r="B13" s="39">
        <v>25000.0</v>
      </c>
      <c r="C13" s="12" t="s">
        <v>89</v>
      </c>
    </row>
    <row r="14" ht="15.0" customHeight="1">
      <c r="A14" s="4" t="s">
        <v>188</v>
      </c>
      <c r="B14" s="40">
        <f>SUM(B11:B13)</f>
        <v>51000</v>
      </c>
      <c r="C14" s="2"/>
    </row>
    <row r="15">
      <c r="A15" s="2"/>
      <c r="B15" s="2"/>
      <c r="C15" s="2"/>
    </row>
    <row r="16" ht="15.0" customHeight="1">
      <c r="A16" s="4" t="s">
        <v>189</v>
      </c>
      <c r="B16" s="2"/>
      <c r="C16" s="2"/>
    </row>
    <row r="17" ht="15.0" customHeight="1">
      <c r="A17" s="2" t="s">
        <v>190</v>
      </c>
      <c r="B17" s="39">
        <v>90000.0</v>
      </c>
      <c r="C17" s="12" t="s">
        <v>89</v>
      </c>
    </row>
    <row r="18" ht="15.0" customHeight="1">
      <c r="A18" s="2" t="s">
        <v>191</v>
      </c>
      <c r="B18" s="38">
        <v>5000.0</v>
      </c>
      <c r="C18" s="12" t="s">
        <v>89</v>
      </c>
    </row>
    <row r="19" ht="15.0" customHeight="1">
      <c r="A19" s="2" t="s">
        <v>192</v>
      </c>
      <c r="B19" s="39">
        <v>1000.0</v>
      </c>
      <c r="C19" s="12" t="s">
        <v>89</v>
      </c>
    </row>
    <row r="20" ht="15.0" customHeight="1">
      <c r="A20" s="4" t="s">
        <v>193</v>
      </c>
      <c r="B20" s="40">
        <f>SUM(B17:B19)</f>
        <v>96000</v>
      </c>
      <c r="C20" s="2"/>
    </row>
    <row r="21" ht="15.75" customHeight="1">
      <c r="A21" s="2"/>
      <c r="B21" s="2"/>
      <c r="C21" s="2"/>
    </row>
    <row r="22" ht="15.0" customHeight="1">
      <c r="A22" s="9" t="s">
        <v>194</v>
      </c>
      <c r="B22" s="41">
        <f>B8+B14+B20</f>
        <v>1977640</v>
      </c>
      <c r="C22" s="2"/>
    </row>
    <row r="23" ht="15.75" customHeight="1">
      <c r="A23" s="2"/>
      <c r="B23" s="2"/>
      <c r="C23" s="2"/>
    </row>
    <row r="24" ht="17.25" customHeight="1">
      <c r="A24" s="1" t="s">
        <v>195</v>
      </c>
      <c r="B24" s="2"/>
      <c r="C24" s="2"/>
    </row>
    <row r="25" ht="15.0" customHeight="1">
      <c r="A25" s="4" t="s">
        <v>196</v>
      </c>
      <c r="B25" s="2"/>
      <c r="C25" s="2"/>
    </row>
    <row r="26" ht="15.0" customHeight="1">
      <c r="A26" s="2" t="s">
        <v>197</v>
      </c>
      <c r="B26" s="38">
        <v>826448.0</v>
      </c>
      <c r="C26" s="12" t="s">
        <v>198</v>
      </c>
    </row>
    <row r="27" ht="15.0" customHeight="1">
      <c r="A27" s="2" t="s">
        <v>199</v>
      </c>
      <c r="B27" s="39">
        <v>300000.0</v>
      </c>
      <c r="C27" s="12" t="s">
        <v>200</v>
      </c>
    </row>
    <row r="28" ht="15.0" customHeight="1">
      <c r="A28" s="4" t="s">
        <v>201</v>
      </c>
      <c r="B28" s="40">
        <f>SUM(B26:B27)</f>
        <v>1126448</v>
      </c>
      <c r="C28" s="2"/>
    </row>
    <row r="29" ht="15.75" customHeight="1">
      <c r="A29" s="2"/>
      <c r="B29" s="2"/>
      <c r="C29" s="2"/>
    </row>
    <row r="30" ht="15.0" customHeight="1">
      <c r="A30" s="4" t="s">
        <v>107</v>
      </c>
      <c r="B30" s="2"/>
      <c r="C30" s="2"/>
    </row>
    <row r="31" ht="15.0" customHeight="1">
      <c r="A31" s="2" t="s">
        <v>202</v>
      </c>
      <c r="B31" s="39">
        <v>75000.0</v>
      </c>
      <c r="C31" s="12" t="s">
        <v>203</v>
      </c>
    </row>
    <row r="32" ht="15.0" customHeight="1">
      <c r="A32" s="2" t="s">
        <v>204</v>
      </c>
      <c r="B32" s="38">
        <v>25000.0</v>
      </c>
      <c r="C32" s="12" t="s">
        <v>205</v>
      </c>
    </row>
    <row r="33" ht="15.0" customHeight="1">
      <c r="A33" s="2" t="s">
        <v>206</v>
      </c>
      <c r="B33" s="38">
        <v>0.0</v>
      </c>
      <c r="C33" s="12" t="s">
        <v>207</v>
      </c>
    </row>
    <row r="34" ht="15.0" customHeight="1">
      <c r="A34" s="4" t="s">
        <v>208</v>
      </c>
      <c r="B34" s="40">
        <f>SUM(B31:B33)</f>
        <v>100000</v>
      </c>
      <c r="C34" s="2"/>
    </row>
    <row r="35" ht="15.75" customHeight="1">
      <c r="A35" s="2"/>
      <c r="B35" s="2"/>
      <c r="C35" s="2"/>
    </row>
    <row r="36" ht="15.0" customHeight="1">
      <c r="A36" s="42" t="s">
        <v>209</v>
      </c>
      <c r="B36" s="43">
        <f>B28+B34</f>
        <v>1226448</v>
      </c>
      <c r="C36" s="2"/>
    </row>
    <row r="37" ht="15.75" customHeight="1">
      <c r="A37" s="2"/>
      <c r="B37" s="2"/>
      <c r="C37" s="2"/>
    </row>
    <row r="38" ht="17.25" customHeight="1">
      <c r="A38" s="31" t="s">
        <v>210</v>
      </c>
      <c r="B38" s="44">
        <f>B22-B36</f>
        <v>751192</v>
      </c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25.0"/>
    <col customWidth="1" min="4" max="4" width="20.0"/>
    <col customWidth="1" min="5" max="5" width="15.0"/>
    <col customWidth="1" min="6" max="26" width="8.71"/>
  </cols>
  <sheetData>
    <row r="1" ht="17.25" customHeight="1">
      <c r="A1" s="29" t="s">
        <v>211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 ht="15.0" customHeight="1">
      <c r="A3" s="33" t="s">
        <v>212</v>
      </c>
      <c r="B3" s="2"/>
      <c r="C3" s="2"/>
      <c r="D3" s="2"/>
      <c r="E3" s="2"/>
    </row>
    <row r="4" ht="15.0" customHeight="1">
      <c r="A4" s="45" t="s">
        <v>213</v>
      </c>
      <c r="B4" s="2"/>
      <c r="C4" s="2"/>
      <c r="D4" s="2"/>
      <c r="E4" s="2"/>
    </row>
    <row r="5">
      <c r="A5" s="2"/>
      <c r="B5" s="2"/>
      <c r="C5" s="2"/>
      <c r="D5" s="2"/>
      <c r="E5" s="2"/>
    </row>
    <row r="6" ht="15.0" customHeight="1">
      <c r="A6" s="2" t="s">
        <v>214</v>
      </c>
      <c r="B6" s="46">
        <v>45960.0</v>
      </c>
      <c r="C6" s="2"/>
      <c r="D6" s="2"/>
      <c r="E6" s="2"/>
    </row>
    <row r="7" ht="15.0" customHeight="1">
      <c r="A7" s="2" t="s">
        <v>215</v>
      </c>
      <c r="B7" s="46">
        <v>46050.0</v>
      </c>
      <c r="C7" s="2"/>
      <c r="D7" s="2"/>
      <c r="E7" s="2"/>
    </row>
    <row r="8" ht="15.0" customHeight="1">
      <c r="A8" s="2" t="s">
        <v>216</v>
      </c>
      <c r="B8" s="2">
        <f>B7-B6</f>
        <v>90</v>
      </c>
      <c r="C8" s="2"/>
      <c r="D8" s="2"/>
      <c r="E8" s="2"/>
    </row>
    <row r="9" ht="15.0" customHeight="1">
      <c r="A9" s="2" t="s">
        <v>217</v>
      </c>
      <c r="B9" s="2">
        <f>ROUND((B7-B6)/30.44,1)</f>
        <v>3</v>
      </c>
      <c r="C9" s="2"/>
      <c r="D9" s="2"/>
      <c r="E9" s="2"/>
    </row>
    <row r="10">
      <c r="A10" s="2"/>
      <c r="B10" s="2"/>
      <c r="C10" s="2"/>
      <c r="D10" s="2"/>
      <c r="E10" s="2"/>
    </row>
    <row r="11" ht="15.0" customHeight="1">
      <c r="A11" s="4" t="s">
        <v>218</v>
      </c>
      <c r="B11" s="2"/>
      <c r="C11" s="2"/>
      <c r="D11" s="2"/>
      <c r="E11" s="2"/>
    </row>
    <row r="12" ht="15.0" customHeight="1">
      <c r="A12" s="34" t="s">
        <v>219</v>
      </c>
      <c r="B12" s="34" t="s">
        <v>220</v>
      </c>
      <c r="C12" s="34" t="s">
        <v>221</v>
      </c>
      <c r="D12" s="2"/>
      <c r="E12" s="2"/>
    </row>
    <row r="13" ht="15.0" customHeight="1">
      <c r="A13" s="2" t="s">
        <v>222</v>
      </c>
      <c r="B13" s="47">
        <f>TODAY()-30</f>
        <v>46031</v>
      </c>
      <c r="C13" s="47">
        <f t="shared" ref="C13:C16" si="1">TODAY()</f>
        <v>46061</v>
      </c>
      <c r="D13" s="2"/>
      <c r="E13" s="2"/>
    </row>
    <row r="14" ht="15.0" customHeight="1">
      <c r="A14" s="2" t="s">
        <v>223</v>
      </c>
      <c r="B14" s="47">
        <f>TODAY()-60</f>
        <v>46001</v>
      </c>
      <c r="C14" s="47">
        <f t="shared" si="1"/>
        <v>46061</v>
      </c>
      <c r="D14" s="2"/>
      <c r="E14" s="2"/>
    </row>
    <row r="15" ht="15.0" customHeight="1">
      <c r="A15" s="2" t="s">
        <v>224</v>
      </c>
      <c r="B15" s="47">
        <f>TODAY()-90</f>
        <v>45971</v>
      </c>
      <c r="C15" s="47">
        <f t="shared" si="1"/>
        <v>46061</v>
      </c>
      <c r="D15" s="2"/>
      <c r="E15" s="2"/>
    </row>
    <row r="16" ht="15.0" customHeight="1">
      <c r="A16" s="2" t="s">
        <v>225</v>
      </c>
      <c r="B16" s="47">
        <f>DATE(YEAR(TODAY()),MONTH(TODAY()),1)</f>
        <v>46054</v>
      </c>
      <c r="C16" s="47">
        <f t="shared" si="1"/>
        <v>46061</v>
      </c>
      <c r="D16" s="2"/>
      <c r="E16" s="2"/>
    </row>
    <row r="17" ht="15.0" customHeight="1">
      <c r="A17" s="2" t="s">
        <v>226</v>
      </c>
      <c r="B17" s="47">
        <f>DATE(YEAR(TODAY()),MONTH(TODAY())-1,1)</f>
        <v>46023</v>
      </c>
      <c r="C17" s="47">
        <f>DATE(YEAR(TODAY()),MONTH(TODAY()),0)</f>
        <v>46053</v>
      </c>
      <c r="D17" s="2"/>
      <c r="E17" s="2"/>
    </row>
    <row r="18" ht="15.0" customHeight="1">
      <c r="A18" s="2" t="s">
        <v>227</v>
      </c>
      <c r="B18" s="47">
        <f>DATE(YEAR(TODAY()),1,1)</f>
        <v>46023</v>
      </c>
      <c r="C18" s="47">
        <f>TODAY()</f>
        <v>46061</v>
      </c>
      <c r="D18" s="2"/>
      <c r="E18" s="2"/>
    </row>
    <row r="19" ht="15.0" customHeight="1">
      <c r="A19" s="2" t="s">
        <v>228</v>
      </c>
      <c r="B19" s="48">
        <f>MIN('Raw Data'!A:A)</f>
        <v>45960</v>
      </c>
      <c r="C19" s="48">
        <f>MAX('Raw Data'!A:A)</f>
        <v>46050</v>
      </c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0" customHeight="1">
      <c r="A22" s="33" t="s">
        <v>229</v>
      </c>
      <c r="B22" s="2"/>
      <c r="C22" s="2"/>
      <c r="D22" s="2"/>
      <c r="E22" s="2"/>
    </row>
    <row r="23" ht="15.0" customHeight="1">
      <c r="A23" s="2" t="s">
        <v>230</v>
      </c>
      <c r="B23" s="2">
        <f>COUNTA('Raw Data'!A3:A10000)</f>
        <v>791</v>
      </c>
      <c r="C23" s="2"/>
      <c r="D23" s="2"/>
      <c r="E23" s="2"/>
    </row>
    <row r="24" ht="15.0" customHeight="1">
      <c r="A24" s="2" t="s">
        <v>231</v>
      </c>
      <c r="B24" s="49">
        <f>MIN('Raw Data'!A3:A10000)</f>
        <v>45960</v>
      </c>
      <c r="C24" s="2"/>
      <c r="D24" s="2"/>
      <c r="E24" s="2"/>
    </row>
    <row r="25" ht="15.0" customHeight="1">
      <c r="A25" s="2" t="s">
        <v>232</v>
      </c>
      <c r="B25" s="49">
        <f>MAX('Raw Data'!A3:A10000)</f>
        <v>46050</v>
      </c>
      <c r="C25" s="2"/>
      <c r="D25" s="2"/>
      <c r="E25" s="2"/>
    </row>
    <row r="26" ht="15.0" customHeight="1">
      <c r="A26" s="2" t="s">
        <v>233</v>
      </c>
      <c r="B26" s="2">
        <f>COUNTIFS('Raw Data'!A3:A10000,"&gt;="&amp;B6,'Raw Data'!A3:A10000,"&lt;="&amp;B7,'Raw Data'!J3:J10000,"&lt;&gt;Business",'Raw Data'!J3:J10000,"&lt;&gt;Split-Parent")</f>
        <v>791</v>
      </c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0" customHeight="1">
      <c r="A29" s="33" t="s">
        <v>234</v>
      </c>
      <c r="B29" s="2"/>
      <c r="C29" s="2"/>
      <c r="D29" s="33" t="s">
        <v>235</v>
      </c>
      <c r="E29" s="2"/>
    </row>
    <row r="30" ht="27.75" customHeight="1">
      <c r="A30" s="34" t="s">
        <v>22</v>
      </c>
      <c r="B30" s="34" t="s">
        <v>236</v>
      </c>
      <c r="C30" s="2"/>
      <c r="D30" s="34" t="s">
        <v>237</v>
      </c>
      <c r="E30" s="34" t="s">
        <v>236</v>
      </c>
    </row>
    <row r="31" ht="15.0" customHeight="1">
      <c r="A31" s="2" t="s">
        <v>26</v>
      </c>
      <c r="B31" s="39">
        <v>2000.0</v>
      </c>
      <c r="C31" s="2"/>
      <c r="D31" s="2" t="s">
        <v>164</v>
      </c>
      <c r="E31" s="38">
        <v>1000.0</v>
      </c>
    </row>
    <row r="32" ht="15.0" customHeight="1">
      <c r="A32" s="2" t="s">
        <v>28</v>
      </c>
      <c r="B32" s="38">
        <v>800.0</v>
      </c>
      <c r="C32" s="2"/>
      <c r="D32" s="2" t="s">
        <v>165</v>
      </c>
      <c r="E32" s="38">
        <v>300.0</v>
      </c>
    </row>
    <row r="33" ht="15.0" customHeight="1">
      <c r="A33" s="2" t="s">
        <v>27</v>
      </c>
      <c r="B33" s="38">
        <v>2500.0</v>
      </c>
      <c r="C33" s="2"/>
      <c r="D33" s="2" t="s">
        <v>91</v>
      </c>
      <c r="E33" s="38">
        <v>400.0</v>
      </c>
    </row>
    <row r="34" ht="15.0" customHeight="1">
      <c r="A34" s="2" t="s">
        <v>152</v>
      </c>
      <c r="B34" s="38">
        <v>500.0</v>
      </c>
      <c r="C34" s="2"/>
      <c r="D34" s="2" t="s">
        <v>166</v>
      </c>
      <c r="E34" s="38">
        <v>1200.0</v>
      </c>
    </row>
    <row r="35" ht="15.0" customHeight="1">
      <c r="A35" s="2" t="s">
        <v>153</v>
      </c>
      <c r="B35" s="38">
        <v>450.0</v>
      </c>
      <c r="C35" s="2"/>
      <c r="D35" s="2"/>
      <c r="E35" s="2"/>
    </row>
    <row r="36" ht="15.0" customHeight="1">
      <c r="A36" s="2" t="s">
        <v>154</v>
      </c>
      <c r="B36" s="38">
        <v>400.0</v>
      </c>
      <c r="C36" s="2"/>
      <c r="D36" s="2"/>
      <c r="E36" s="2"/>
    </row>
    <row r="37" ht="15.0" customHeight="1">
      <c r="A37" s="2" t="s">
        <v>155</v>
      </c>
      <c r="B37" s="38">
        <v>300.0</v>
      </c>
      <c r="C37" s="2"/>
      <c r="D37" s="2"/>
      <c r="E37" s="2"/>
    </row>
    <row r="38" ht="15.0" customHeight="1">
      <c r="A38" s="2" t="s">
        <v>156</v>
      </c>
      <c r="B38" s="38">
        <v>500.0</v>
      </c>
      <c r="C38" s="2"/>
      <c r="D38" s="2"/>
      <c r="E38" s="2"/>
    </row>
    <row r="39" ht="15.0" customHeight="1">
      <c r="A39" s="2" t="s">
        <v>157</v>
      </c>
      <c r="B39" s="38">
        <v>500.0</v>
      </c>
      <c r="C39" s="2"/>
      <c r="D39" s="2"/>
      <c r="E39" s="2"/>
    </row>
    <row r="40" ht="15.0" customHeight="1">
      <c r="A40" s="2" t="s">
        <v>158</v>
      </c>
      <c r="B40" s="38">
        <v>500.0</v>
      </c>
      <c r="C40" s="2"/>
      <c r="D40" s="2"/>
      <c r="E40" s="2"/>
    </row>
    <row r="41" ht="15.0" customHeight="1">
      <c r="A41" s="2" t="s">
        <v>159</v>
      </c>
      <c r="B41" s="38">
        <v>175.0</v>
      </c>
      <c r="C41" s="2"/>
      <c r="D41" s="2"/>
      <c r="E41" s="2"/>
    </row>
    <row r="42" ht="15.0" customHeight="1">
      <c r="A42" s="2" t="s">
        <v>160</v>
      </c>
      <c r="B42" s="38">
        <v>250.0</v>
      </c>
      <c r="C42" s="2"/>
      <c r="D42" s="2"/>
      <c r="E42" s="2"/>
    </row>
    <row r="43" ht="15.0" customHeight="1">
      <c r="A43" s="2" t="s">
        <v>161</v>
      </c>
      <c r="B43" s="38">
        <v>100.0</v>
      </c>
      <c r="C43" s="2"/>
      <c r="D43" s="2"/>
      <c r="E43" s="2"/>
    </row>
    <row r="44" ht="15.0" customHeight="1">
      <c r="A44" s="2" t="s">
        <v>162</v>
      </c>
      <c r="B44" s="38">
        <v>150.0</v>
      </c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0" customHeight="1">
      <c r="A48" s="2" t="s">
        <v>238</v>
      </c>
      <c r="B48" s="15">
        <v>0.2</v>
      </c>
      <c r="C48" s="2"/>
      <c r="D48" s="33" t="s">
        <v>239</v>
      </c>
      <c r="E48" s="2"/>
    </row>
    <row r="49" ht="15.0" customHeight="1">
      <c r="A49" s="2"/>
      <c r="B49" s="2"/>
      <c r="C49" s="2"/>
      <c r="D49" s="2" t="s">
        <v>240</v>
      </c>
      <c r="E49" s="36">
        <v>4692.48</v>
      </c>
    </row>
    <row r="50" ht="15.0" customHeight="1">
      <c r="A50" s="33" t="s">
        <v>241</v>
      </c>
      <c r="B50" s="2"/>
      <c r="C50" s="2"/>
      <c r="D50" s="2" t="s">
        <v>242</v>
      </c>
      <c r="E50" s="36">
        <v>1827.07</v>
      </c>
    </row>
    <row r="51" ht="15.0" customHeight="1">
      <c r="A51" s="2" t="s">
        <v>243</v>
      </c>
      <c r="B51" s="2">
        <f>COUNTIF('Raw Data'!J3:J10000,"Business")</f>
        <v>0</v>
      </c>
      <c r="C51" s="2"/>
      <c r="D51" s="2" t="s">
        <v>244</v>
      </c>
      <c r="E51" s="40">
        <f>E49+E50</f>
        <v>6519.55</v>
      </c>
    </row>
    <row r="52" ht="15.0" customHeight="1">
      <c r="A52" s="2" t="s">
        <v>245</v>
      </c>
      <c r="B52" s="36">
        <f>SUMIF('Raw Data'!J3:J10000,"Business",'Raw Data'!G3:G10000)</f>
        <v>0</v>
      </c>
      <c r="C52" s="2"/>
      <c r="D52" s="2"/>
      <c r="E52" s="2"/>
    </row>
    <row r="53" ht="15.0" customHeight="1">
      <c r="A53" s="2" t="s">
        <v>246</v>
      </c>
      <c r="B53" s="2">
        <f>COUNTIF('Raw Data'!J3:J10000,"Split-Parent")</f>
        <v>0</v>
      </c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0" customHeight="1">
      <c r="A56" s="4" t="s">
        <v>247</v>
      </c>
      <c r="B56" s="2"/>
      <c r="C56" s="2"/>
      <c r="D56" s="2"/>
      <c r="E56" s="2"/>
    </row>
    <row r="57" ht="15.0" customHeight="1">
      <c r="A57" s="2" t="s">
        <v>97</v>
      </c>
      <c r="B57" s="2" t="s">
        <v>248</v>
      </c>
      <c r="C57" s="2" t="s">
        <v>249</v>
      </c>
      <c r="D57" s="2" t="s">
        <v>250</v>
      </c>
      <c r="E57" s="2"/>
    </row>
    <row r="58" ht="15.0" customHeight="1">
      <c r="A58" s="2" t="s">
        <v>251</v>
      </c>
      <c r="B58" s="50">
        <v>1200.0</v>
      </c>
      <c r="C58" s="14">
        <v>5.0</v>
      </c>
      <c r="D58" s="5">
        <f t="shared" ref="D58:D62" si="2">IF(AND(B58&lt;&gt;"",C58&gt;0),ROUND(B58/C58,0),"")</f>
        <v>240</v>
      </c>
      <c r="E58" s="2"/>
    </row>
    <row r="59" ht="15.0" customHeight="1">
      <c r="A59" s="2" t="s">
        <v>252</v>
      </c>
      <c r="B59" s="50">
        <v>500.0</v>
      </c>
      <c r="C59" s="14">
        <v>3.0</v>
      </c>
      <c r="D59" s="5">
        <f t="shared" si="2"/>
        <v>167</v>
      </c>
      <c r="E59" s="2"/>
    </row>
    <row r="60" ht="15.0" customHeight="1">
      <c r="A60" s="2" t="s">
        <v>253</v>
      </c>
      <c r="B60" s="50">
        <v>5000.0</v>
      </c>
      <c r="C60" s="14">
        <v>14.0</v>
      </c>
      <c r="D60" s="5">
        <f t="shared" si="2"/>
        <v>357</v>
      </c>
      <c r="E60" s="2"/>
    </row>
    <row r="61" ht="15.0" customHeight="1">
      <c r="A61" s="2" t="s">
        <v>254</v>
      </c>
      <c r="B61" s="50">
        <v>3000.0</v>
      </c>
      <c r="C61" s="14">
        <v>16.0</v>
      </c>
      <c r="D61" s="5">
        <f t="shared" si="2"/>
        <v>188</v>
      </c>
      <c r="E61" s="2"/>
    </row>
    <row r="62" ht="15.0" customHeight="1">
      <c r="A62" s="2" t="s">
        <v>255</v>
      </c>
      <c r="B62" s="50">
        <v>2000.0</v>
      </c>
      <c r="C62" s="14">
        <v>11.0</v>
      </c>
      <c r="D62" s="5">
        <f t="shared" si="2"/>
        <v>182</v>
      </c>
      <c r="E62" s="2"/>
    </row>
    <row r="63" ht="15.75" customHeight="1">
      <c r="A63" s="2"/>
      <c r="B63" s="2"/>
      <c r="C63" s="2"/>
      <c r="D63" s="2"/>
      <c r="E63" s="2"/>
    </row>
    <row r="64" ht="15.0" customHeight="1">
      <c r="A64" s="4" t="s">
        <v>256</v>
      </c>
      <c r="B64" s="5">
        <f>SUM(B58:B63)</f>
        <v>11700</v>
      </c>
      <c r="C64" s="2"/>
      <c r="D64" s="5">
        <f>SUM(D58:D63)</f>
        <v>1134</v>
      </c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8.71"/>
    <col customWidth="1" min="4" max="4" width="35.0"/>
    <col customWidth="1" min="5" max="5" width="50.0"/>
    <col customWidth="1" min="6" max="6" width="30.0"/>
    <col customWidth="1" min="7" max="7" width="12.0"/>
    <col customWidth="1" min="8" max="8" width="15.0"/>
    <col customWidth="1" min="9" max="9" width="20.0"/>
    <col customWidth="1" min="10" max="10" width="12.0"/>
    <col customWidth="1" min="11" max="11" width="14.0"/>
    <col customWidth="1" min="12" max="26" width="8.71"/>
  </cols>
  <sheetData>
    <row r="1" ht="17.25" customHeight="1">
      <c r="A1" s="29" t="s">
        <v>257</v>
      </c>
      <c r="B1" s="2"/>
      <c r="D1" s="2"/>
      <c r="E1" s="2"/>
      <c r="F1" s="2"/>
      <c r="G1" s="2"/>
      <c r="H1" s="2"/>
      <c r="I1" s="2"/>
      <c r="J1" s="2"/>
      <c r="K1" s="2"/>
    </row>
    <row r="2" ht="15.0" customHeight="1">
      <c r="A2" s="34" t="s">
        <v>258</v>
      </c>
      <c r="B2" s="34" t="s">
        <v>259</v>
      </c>
      <c r="C2" s="34" t="s">
        <v>22</v>
      </c>
      <c r="D2" s="34" t="s">
        <v>260</v>
      </c>
      <c r="E2" s="34" t="s">
        <v>261</v>
      </c>
      <c r="F2" s="34" t="s">
        <v>39</v>
      </c>
      <c r="G2" s="34" t="s">
        <v>262</v>
      </c>
      <c r="H2" s="34" t="s">
        <v>263</v>
      </c>
      <c r="I2" s="34" t="s">
        <v>264</v>
      </c>
      <c r="J2" s="51" t="s">
        <v>265</v>
      </c>
      <c r="K2" s="51" t="s">
        <v>266</v>
      </c>
    </row>
    <row r="3" ht="15.0" customHeight="1">
      <c r="A3" s="49">
        <v>46050.0</v>
      </c>
      <c r="B3" s="2" t="s">
        <v>91</v>
      </c>
      <c r="C3" s="2" t="s">
        <v>27</v>
      </c>
      <c r="D3" s="2" t="s">
        <v>267</v>
      </c>
      <c r="E3" s="2" t="s">
        <v>268</v>
      </c>
      <c r="F3" s="2"/>
      <c r="G3" s="36">
        <v>-10.99</v>
      </c>
      <c r="H3" s="2"/>
      <c r="I3" s="2" t="s">
        <v>269</v>
      </c>
      <c r="J3" s="2"/>
      <c r="K3" s="2"/>
    </row>
    <row r="4" ht="15.0" customHeight="1">
      <c r="A4" s="49">
        <v>46050.0</v>
      </c>
      <c r="B4" s="2" t="s">
        <v>166</v>
      </c>
      <c r="C4" s="2" t="s">
        <v>26</v>
      </c>
      <c r="D4" s="2" t="s">
        <v>270</v>
      </c>
      <c r="E4" s="2" t="s">
        <v>271</v>
      </c>
      <c r="F4" s="2"/>
      <c r="G4" s="36">
        <v>-49.33</v>
      </c>
      <c r="H4" s="2"/>
      <c r="I4" s="2" t="s">
        <v>272</v>
      </c>
      <c r="J4" s="2"/>
      <c r="K4" s="2"/>
    </row>
    <row r="5" ht="15.0" customHeight="1">
      <c r="A5" s="49">
        <v>46049.0</v>
      </c>
      <c r="B5" s="2" t="s">
        <v>164</v>
      </c>
      <c r="C5" s="2" t="s">
        <v>27</v>
      </c>
      <c r="D5" s="2" t="s">
        <v>273</v>
      </c>
      <c r="E5" s="2" t="s">
        <v>274</v>
      </c>
      <c r="F5" s="2"/>
      <c r="G5" s="36">
        <v>-83.79</v>
      </c>
      <c r="H5" s="2"/>
      <c r="I5" s="2" t="s">
        <v>272</v>
      </c>
      <c r="J5" s="2"/>
      <c r="K5" s="2"/>
    </row>
    <row r="6" ht="15.0" customHeight="1">
      <c r="A6" s="49">
        <v>46049.0</v>
      </c>
      <c r="B6" s="2" t="s">
        <v>164</v>
      </c>
      <c r="C6" s="2" t="s">
        <v>27</v>
      </c>
      <c r="D6" s="2" t="s">
        <v>273</v>
      </c>
      <c r="E6" s="2" t="s">
        <v>275</v>
      </c>
      <c r="F6" s="2"/>
      <c r="G6" s="36">
        <v>-10.99</v>
      </c>
      <c r="H6" s="2"/>
      <c r="I6" s="2" t="s">
        <v>272</v>
      </c>
      <c r="J6" s="2"/>
      <c r="K6" s="2"/>
    </row>
    <row r="7" ht="15.0" customHeight="1">
      <c r="A7" s="49">
        <v>46049.0</v>
      </c>
      <c r="B7" s="2" t="s">
        <v>276</v>
      </c>
      <c r="C7" s="2" t="s">
        <v>153</v>
      </c>
      <c r="D7" s="2" t="s">
        <v>277</v>
      </c>
      <c r="E7" s="2" t="s">
        <v>278</v>
      </c>
      <c r="F7" s="2"/>
      <c r="G7" s="36">
        <v>-7.99</v>
      </c>
      <c r="H7" s="2"/>
      <c r="I7" s="2" t="s">
        <v>269</v>
      </c>
      <c r="J7" s="2"/>
      <c r="K7" s="2"/>
    </row>
    <row r="8" ht="15.0" customHeight="1">
      <c r="A8" s="49">
        <v>46049.0</v>
      </c>
      <c r="B8" s="2" t="s">
        <v>164</v>
      </c>
      <c r="C8" s="2" t="s">
        <v>27</v>
      </c>
      <c r="D8" s="2" t="s">
        <v>277</v>
      </c>
      <c r="E8" s="2" t="s">
        <v>279</v>
      </c>
      <c r="F8" s="2"/>
      <c r="G8" s="36">
        <v>-32.33</v>
      </c>
      <c r="H8" s="2"/>
      <c r="I8" s="2" t="s">
        <v>269</v>
      </c>
      <c r="J8" s="2"/>
      <c r="K8" s="2"/>
    </row>
    <row r="9" ht="15.0" customHeight="1">
      <c r="A9" s="49">
        <v>46049.0</v>
      </c>
      <c r="B9" s="2" t="s">
        <v>280</v>
      </c>
      <c r="C9" s="2" t="s">
        <v>281</v>
      </c>
      <c r="D9" s="2" t="s">
        <v>267</v>
      </c>
      <c r="E9" s="2" t="s">
        <v>282</v>
      </c>
      <c r="F9" s="2"/>
      <c r="G9" s="36">
        <v>-24.99</v>
      </c>
      <c r="H9" s="2"/>
      <c r="I9" s="2" t="s">
        <v>269</v>
      </c>
      <c r="J9" s="2"/>
      <c r="K9" s="2"/>
    </row>
    <row r="10" ht="15.0" customHeight="1">
      <c r="A10" s="49">
        <v>46049.0</v>
      </c>
      <c r="B10" s="2" t="s">
        <v>283</v>
      </c>
      <c r="C10" s="2" t="s">
        <v>154</v>
      </c>
      <c r="D10" s="2" t="s">
        <v>267</v>
      </c>
      <c r="E10" s="2" t="s">
        <v>284</v>
      </c>
      <c r="F10" s="2"/>
      <c r="G10" s="36">
        <v>-17.5</v>
      </c>
      <c r="H10" s="2"/>
      <c r="I10" s="2" t="s">
        <v>269</v>
      </c>
      <c r="J10" s="2"/>
      <c r="K10" s="2"/>
    </row>
    <row r="11" ht="15.0" customHeight="1">
      <c r="A11" s="49">
        <v>46049.0</v>
      </c>
      <c r="B11" s="2" t="s">
        <v>285</v>
      </c>
      <c r="C11" s="2" t="s">
        <v>286</v>
      </c>
      <c r="D11" s="2" t="s">
        <v>267</v>
      </c>
      <c r="E11" s="2" t="s">
        <v>287</v>
      </c>
      <c r="F11" s="2"/>
      <c r="G11" s="36">
        <v>-95.0</v>
      </c>
      <c r="H11" s="2"/>
      <c r="I11" s="2" t="s">
        <v>269</v>
      </c>
      <c r="J11" s="2"/>
      <c r="K11" s="2"/>
    </row>
    <row r="12" ht="15.0" customHeight="1">
      <c r="A12" s="49">
        <v>46049.0</v>
      </c>
      <c r="B12" s="2" t="s">
        <v>288</v>
      </c>
      <c r="C12" s="2" t="s">
        <v>289</v>
      </c>
      <c r="D12" s="2" t="s">
        <v>267</v>
      </c>
      <c r="E12" s="2" t="s">
        <v>290</v>
      </c>
      <c r="F12" s="2"/>
      <c r="G12" s="36">
        <v>-340.3</v>
      </c>
      <c r="H12" s="2"/>
      <c r="I12" s="2" t="s">
        <v>269</v>
      </c>
      <c r="J12" s="2"/>
      <c r="K12" s="2"/>
    </row>
    <row r="13" ht="15.0" customHeight="1">
      <c r="A13" s="49">
        <v>46049.0</v>
      </c>
      <c r="B13" s="2" t="s">
        <v>291</v>
      </c>
      <c r="C13" s="2" t="s">
        <v>292</v>
      </c>
      <c r="D13" s="2" t="s">
        <v>270</v>
      </c>
      <c r="E13" s="2" t="s">
        <v>293</v>
      </c>
      <c r="F13" s="2"/>
      <c r="G13" s="36">
        <v>-3.2</v>
      </c>
      <c r="H13" s="2"/>
      <c r="I13" s="2" t="s">
        <v>272</v>
      </c>
      <c r="J13" s="2"/>
      <c r="K13" s="2"/>
    </row>
    <row r="14" ht="15.0" customHeight="1">
      <c r="A14" s="49">
        <v>46049.0</v>
      </c>
      <c r="B14" s="2" t="s">
        <v>171</v>
      </c>
      <c r="C14" s="2" t="s">
        <v>26</v>
      </c>
      <c r="D14" s="2" t="s">
        <v>270</v>
      </c>
      <c r="E14" s="2" t="s">
        <v>294</v>
      </c>
      <c r="F14" s="2"/>
      <c r="G14" s="36">
        <v>-104.05</v>
      </c>
      <c r="H14" s="2"/>
      <c r="I14" s="2" t="s">
        <v>272</v>
      </c>
      <c r="J14" s="2"/>
      <c r="K14" s="2"/>
    </row>
    <row r="15" ht="15.0" customHeight="1">
      <c r="A15" s="49">
        <v>46049.0</v>
      </c>
      <c r="B15" s="2" t="s">
        <v>295</v>
      </c>
      <c r="C15" s="2" t="s">
        <v>157</v>
      </c>
      <c r="D15" s="2" t="s">
        <v>296</v>
      </c>
      <c r="E15" s="2" t="s">
        <v>297</v>
      </c>
      <c r="F15" s="2"/>
      <c r="G15" s="36">
        <v>-21500.0</v>
      </c>
      <c r="H15" s="2"/>
      <c r="I15" s="2" t="s">
        <v>272</v>
      </c>
      <c r="J15" s="2"/>
      <c r="K15" s="2"/>
    </row>
    <row r="16" ht="15.0" customHeight="1">
      <c r="A16" s="49">
        <v>46048.0</v>
      </c>
      <c r="B16" s="2" t="s">
        <v>283</v>
      </c>
      <c r="C16" s="2" t="s">
        <v>154</v>
      </c>
      <c r="D16" s="2" t="s">
        <v>270</v>
      </c>
      <c r="E16" s="2" t="s">
        <v>298</v>
      </c>
      <c r="F16" s="2"/>
      <c r="G16" s="36">
        <v>-28.49</v>
      </c>
      <c r="H16" s="2"/>
      <c r="I16" s="2" t="s">
        <v>272</v>
      </c>
      <c r="J16" s="2"/>
      <c r="K16" s="2"/>
    </row>
    <row r="17" ht="15.0" customHeight="1">
      <c r="A17" s="49">
        <v>46048.0</v>
      </c>
      <c r="B17" s="2" t="s">
        <v>164</v>
      </c>
      <c r="C17" s="2" t="s">
        <v>27</v>
      </c>
      <c r="D17" s="2" t="s">
        <v>273</v>
      </c>
      <c r="E17" s="2" t="s">
        <v>274</v>
      </c>
      <c r="F17" s="2"/>
      <c r="G17" s="36">
        <v>-34.82</v>
      </c>
      <c r="H17" s="2"/>
      <c r="I17" s="2" t="s">
        <v>272</v>
      </c>
      <c r="J17" s="2"/>
      <c r="K17" s="2"/>
    </row>
    <row r="18" ht="15.0" customHeight="1">
      <c r="A18" s="49">
        <v>46048.0</v>
      </c>
      <c r="B18" s="2" t="s">
        <v>299</v>
      </c>
      <c r="C18" s="2" t="s">
        <v>153</v>
      </c>
      <c r="D18" s="2" t="s">
        <v>267</v>
      </c>
      <c r="E18" s="2" t="s">
        <v>300</v>
      </c>
      <c r="F18" s="2"/>
      <c r="G18" s="36">
        <v>-11.99</v>
      </c>
      <c r="H18" s="2"/>
      <c r="I18" s="2" t="s">
        <v>269</v>
      </c>
      <c r="J18" s="2"/>
      <c r="K18" s="2"/>
    </row>
    <row r="19" ht="15.0" customHeight="1">
      <c r="A19" s="49">
        <v>46048.0</v>
      </c>
      <c r="B19" s="2" t="s">
        <v>276</v>
      </c>
      <c r="C19" s="2" t="s">
        <v>153</v>
      </c>
      <c r="D19" s="2" t="s">
        <v>270</v>
      </c>
      <c r="E19" s="2" t="s">
        <v>278</v>
      </c>
      <c r="F19" s="2"/>
      <c r="G19" s="36">
        <v>-2.99</v>
      </c>
      <c r="H19" s="2"/>
      <c r="I19" s="2" t="s">
        <v>272</v>
      </c>
      <c r="J19" s="2"/>
      <c r="K19" s="2"/>
    </row>
    <row r="20" ht="15.0" customHeight="1">
      <c r="A20" s="49">
        <v>46048.0</v>
      </c>
      <c r="B20" s="2" t="s">
        <v>301</v>
      </c>
      <c r="C20" s="2" t="s">
        <v>289</v>
      </c>
      <c r="D20" s="2" t="s">
        <v>270</v>
      </c>
      <c r="E20" s="2" t="s">
        <v>302</v>
      </c>
      <c r="F20" s="2"/>
      <c r="G20" s="36">
        <v>-524.0</v>
      </c>
      <c r="H20" s="2"/>
      <c r="I20" s="2" t="s">
        <v>272</v>
      </c>
      <c r="J20" s="2"/>
      <c r="K20" s="2"/>
    </row>
    <row r="21" ht="15.0" customHeight="1">
      <c r="A21" s="49">
        <v>46048.0</v>
      </c>
      <c r="B21" s="2" t="s">
        <v>303</v>
      </c>
      <c r="C21" s="2" t="s">
        <v>155</v>
      </c>
      <c r="D21" s="2" t="s">
        <v>273</v>
      </c>
      <c r="E21" s="2" t="s">
        <v>304</v>
      </c>
      <c r="F21" s="2"/>
      <c r="G21" s="36">
        <v>-25.0</v>
      </c>
      <c r="H21" s="2"/>
      <c r="I21" s="2" t="s">
        <v>272</v>
      </c>
      <c r="J21" s="2"/>
      <c r="K21" s="2"/>
    </row>
    <row r="22" ht="15.0" customHeight="1">
      <c r="A22" s="49">
        <v>46048.0</v>
      </c>
      <c r="B22" s="2" t="s">
        <v>305</v>
      </c>
      <c r="C22" s="2" t="s">
        <v>289</v>
      </c>
      <c r="D22" s="2" t="s">
        <v>296</v>
      </c>
      <c r="E22" s="2" t="s">
        <v>306</v>
      </c>
      <c r="F22" s="2"/>
      <c r="G22" s="36">
        <v>21500.0</v>
      </c>
      <c r="H22" s="2"/>
      <c r="I22" s="2" t="s">
        <v>272</v>
      </c>
      <c r="J22" s="2"/>
      <c r="K22" s="2"/>
    </row>
    <row r="23" ht="15.0" customHeight="1">
      <c r="A23" s="49">
        <v>46048.0</v>
      </c>
      <c r="B23" s="2" t="s">
        <v>307</v>
      </c>
      <c r="C23" s="2" t="s">
        <v>308</v>
      </c>
      <c r="D23" s="2" t="s">
        <v>309</v>
      </c>
      <c r="E23" s="2" t="s">
        <v>310</v>
      </c>
      <c r="F23" s="2"/>
      <c r="G23" s="36">
        <v>21500.0</v>
      </c>
      <c r="H23" s="2"/>
      <c r="I23" s="2" t="s">
        <v>272</v>
      </c>
      <c r="J23" s="2"/>
      <c r="K23" s="2"/>
    </row>
    <row r="24" ht="15.0" customHeight="1">
      <c r="A24" s="49">
        <v>46048.0</v>
      </c>
      <c r="B24" s="2" t="s">
        <v>311</v>
      </c>
      <c r="C24" s="2" t="s">
        <v>289</v>
      </c>
      <c r="D24" s="2" t="s">
        <v>309</v>
      </c>
      <c r="E24" s="2" t="s">
        <v>312</v>
      </c>
      <c r="F24" s="2"/>
      <c r="G24" s="36">
        <v>-21500.0</v>
      </c>
      <c r="H24" s="2"/>
      <c r="I24" s="2" t="s">
        <v>272</v>
      </c>
      <c r="J24" s="2"/>
      <c r="K24" s="2"/>
    </row>
    <row r="25" ht="15.0" customHeight="1">
      <c r="A25" s="49">
        <v>46047.0</v>
      </c>
      <c r="B25" s="2" t="s">
        <v>165</v>
      </c>
      <c r="C25" s="2" t="s">
        <v>28</v>
      </c>
      <c r="D25" s="2" t="s">
        <v>277</v>
      </c>
      <c r="E25" s="2" t="s">
        <v>313</v>
      </c>
      <c r="F25" s="2"/>
      <c r="G25" s="36">
        <v>-82.4</v>
      </c>
      <c r="H25" s="2"/>
      <c r="I25" s="2" t="s">
        <v>269</v>
      </c>
      <c r="J25" s="2"/>
      <c r="K25" s="2"/>
    </row>
    <row r="26" ht="15.0" customHeight="1">
      <c r="A26" s="49">
        <v>46047.0</v>
      </c>
      <c r="B26" s="2" t="s">
        <v>165</v>
      </c>
      <c r="C26" s="2" t="s">
        <v>28</v>
      </c>
      <c r="D26" s="2" t="s">
        <v>277</v>
      </c>
      <c r="E26" s="2" t="s">
        <v>313</v>
      </c>
      <c r="F26" s="2"/>
      <c r="G26" s="36">
        <v>-12.82</v>
      </c>
      <c r="H26" s="2"/>
      <c r="I26" s="2" t="s">
        <v>269</v>
      </c>
      <c r="J26" s="2"/>
      <c r="K26" s="2"/>
    </row>
    <row r="27" ht="15.0" customHeight="1">
      <c r="A27" s="49">
        <v>46046.0</v>
      </c>
      <c r="B27" s="2" t="s">
        <v>165</v>
      </c>
      <c r="C27" s="2" t="s">
        <v>28</v>
      </c>
      <c r="D27" s="2" t="s">
        <v>273</v>
      </c>
      <c r="E27" s="2" t="s">
        <v>313</v>
      </c>
      <c r="F27" s="2"/>
      <c r="G27" s="36">
        <v>-76.78</v>
      </c>
      <c r="H27" s="2"/>
      <c r="I27" s="2" t="s">
        <v>272</v>
      </c>
      <c r="J27" s="2"/>
      <c r="K27" s="2"/>
    </row>
    <row r="28" ht="15.0" customHeight="1">
      <c r="A28" s="49">
        <v>46046.0</v>
      </c>
      <c r="B28" s="2" t="s">
        <v>165</v>
      </c>
      <c r="C28" s="2" t="s">
        <v>28</v>
      </c>
      <c r="D28" s="2" t="s">
        <v>277</v>
      </c>
      <c r="E28" s="2" t="s">
        <v>314</v>
      </c>
      <c r="F28" s="2"/>
      <c r="G28" s="36">
        <v>-22.7</v>
      </c>
      <c r="H28" s="2"/>
      <c r="I28" s="2" t="s">
        <v>269</v>
      </c>
      <c r="J28" s="2"/>
      <c r="K28" s="2"/>
    </row>
    <row r="29" ht="15.0" customHeight="1">
      <c r="A29" s="49">
        <v>46046.0</v>
      </c>
      <c r="B29" s="2" t="s">
        <v>315</v>
      </c>
      <c r="C29" s="2" t="s">
        <v>26</v>
      </c>
      <c r="D29" s="2" t="s">
        <v>277</v>
      </c>
      <c r="E29" s="2" t="s">
        <v>316</v>
      </c>
      <c r="F29" s="2"/>
      <c r="G29" s="36">
        <v>-122.34</v>
      </c>
      <c r="H29" s="2"/>
      <c r="I29" s="2" t="s">
        <v>269</v>
      </c>
      <c r="J29" s="2"/>
      <c r="K29" s="2"/>
    </row>
    <row r="30" ht="15.0" customHeight="1">
      <c r="A30" s="49">
        <v>46046.0</v>
      </c>
      <c r="B30" s="2" t="s">
        <v>317</v>
      </c>
      <c r="C30" s="2" t="s">
        <v>153</v>
      </c>
      <c r="D30" s="2" t="s">
        <v>296</v>
      </c>
      <c r="E30" s="2" t="s">
        <v>318</v>
      </c>
      <c r="F30" s="2"/>
      <c r="G30" s="36">
        <v>-15.0</v>
      </c>
      <c r="H30" s="2"/>
      <c r="I30" s="2" t="s">
        <v>272</v>
      </c>
      <c r="J30" s="2"/>
      <c r="K30" s="2"/>
    </row>
    <row r="31" ht="15.0" customHeight="1">
      <c r="A31" s="49">
        <v>46045.0</v>
      </c>
      <c r="B31" s="2" t="s">
        <v>319</v>
      </c>
      <c r="C31" s="2" t="s">
        <v>28</v>
      </c>
      <c r="D31" s="2" t="s">
        <v>270</v>
      </c>
      <c r="E31" s="2" t="s">
        <v>320</v>
      </c>
      <c r="F31" s="2"/>
      <c r="G31" s="36">
        <v>-9.64</v>
      </c>
      <c r="H31" s="2"/>
      <c r="I31" s="2" t="s">
        <v>272</v>
      </c>
      <c r="J31" s="2"/>
      <c r="K31" s="2"/>
    </row>
    <row r="32" ht="15.0" customHeight="1">
      <c r="A32" s="49">
        <v>46045.0</v>
      </c>
      <c r="B32" s="2" t="s">
        <v>321</v>
      </c>
      <c r="C32" s="2" t="s">
        <v>152</v>
      </c>
      <c r="D32" s="2" t="s">
        <v>270</v>
      </c>
      <c r="E32" s="2" t="s">
        <v>322</v>
      </c>
      <c r="F32" s="2"/>
      <c r="G32" s="36">
        <v>-30.59</v>
      </c>
      <c r="H32" s="2"/>
      <c r="I32" s="2" t="s">
        <v>272</v>
      </c>
      <c r="J32" s="2"/>
      <c r="K32" s="2"/>
    </row>
    <row r="33" ht="15.0" customHeight="1">
      <c r="A33" s="49">
        <v>46045.0</v>
      </c>
      <c r="B33" s="2" t="s">
        <v>321</v>
      </c>
      <c r="C33" s="2" t="s">
        <v>152</v>
      </c>
      <c r="D33" s="2" t="s">
        <v>277</v>
      </c>
      <c r="E33" s="2" t="s">
        <v>323</v>
      </c>
      <c r="F33" s="2"/>
      <c r="G33" s="36">
        <v>-6.76</v>
      </c>
      <c r="H33" s="2"/>
      <c r="I33" s="2" t="s">
        <v>269</v>
      </c>
      <c r="J33" s="2"/>
      <c r="K33" s="2"/>
    </row>
    <row r="34" ht="15.0" customHeight="1">
      <c r="A34" s="49">
        <v>46045.0</v>
      </c>
      <c r="B34" s="2" t="s">
        <v>324</v>
      </c>
      <c r="C34" s="2" t="s">
        <v>28</v>
      </c>
      <c r="D34" s="2" t="s">
        <v>277</v>
      </c>
      <c r="E34" s="2" t="s">
        <v>325</v>
      </c>
      <c r="F34" s="2"/>
      <c r="G34" s="36">
        <v>-2.6</v>
      </c>
      <c r="H34" s="2"/>
      <c r="I34" s="2" t="s">
        <v>269</v>
      </c>
      <c r="J34" s="2"/>
      <c r="K34" s="2"/>
    </row>
    <row r="35" ht="15.0" customHeight="1">
      <c r="A35" s="49">
        <v>46045.0</v>
      </c>
      <c r="B35" s="2" t="s">
        <v>164</v>
      </c>
      <c r="C35" s="2" t="s">
        <v>27</v>
      </c>
      <c r="D35" s="2" t="s">
        <v>277</v>
      </c>
      <c r="E35" s="2" t="s">
        <v>326</v>
      </c>
      <c r="F35" s="2"/>
      <c r="G35" s="36">
        <v>-7.0</v>
      </c>
      <c r="H35" s="2"/>
      <c r="I35" s="2" t="s">
        <v>269</v>
      </c>
      <c r="J35" s="2"/>
      <c r="K35" s="2"/>
    </row>
    <row r="36" ht="15.0" customHeight="1">
      <c r="A36" s="49">
        <v>46045.0</v>
      </c>
      <c r="B36" s="2" t="s">
        <v>327</v>
      </c>
      <c r="C36" s="2" t="s">
        <v>328</v>
      </c>
      <c r="D36" s="2" t="s">
        <v>267</v>
      </c>
      <c r="E36" s="2" t="s">
        <v>329</v>
      </c>
      <c r="F36" s="2"/>
      <c r="G36" s="36">
        <v>100.0</v>
      </c>
      <c r="H36" s="2"/>
      <c r="I36" s="2" t="s">
        <v>269</v>
      </c>
      <c r="J36" s="2"/>
      <c r="K36" s="2"/>
    </row>
    <row r="37" ht="15.0" customHeight="1">
      <c r="A37" s="49">
        <v>46045.0</v>
      </c>
      <c r="B37" s="2" t="s">
        <v>330</v>
      </c>
      <c r="C37" s="2" t="s">
        <v>162</v>
      </c>
      <c r="D37" s="2" t="s">
        <v>267</v>
      </c>
      <c r="E37" s="2" t="s">
        <v>331</v>
      </c>
      <c r="F37" s="2"/>
      <c r="G37" s="36">
        <v>-27.0</v>
      </c>
      <c r="H37" s="2"/>
      <c r="I37" s="2" t="s">
        <v>269</v>
      </c>
      <c r="J37" s="2"/>
      <c r="K37" s="2"/>
    </row>
    <row r="38" ht="15.0" customHeight="1">
      <c r="A38" s="49">
        <v>46045.0</v>
      </c>
      <c r="B38" s="2" t="s">
        <v>283</v>
      </c>
      <c r="C38" s="2" t="s">
        <v>154</v>
      </c>
      <c r="D38" s="2" t="s">
        <v>267</v>
      </c>
      <c r="E38" s="2" t="s">
        <v>332</v>
      </c>
      <c r="F38" s="2"/>
      <c r="G38" s="36">
        <v>-5.25</v>
      </c>
      <c r="H38" s="2"/>
      <c r="I38" s="2" t="s">
        <v>269</v>
      </c>
      <c r="J38" s="2"/>
      <c r="K38" s="2"/>
    </row>
    <row r="39" ht="15.0" customHeight="1">
      <c r="A39" s="49">
        <v>46045.0</v>
      </c>
      <c r="B39" s="2" t="s">
        <v>333</v>
      </c>
      <c r="C39" s="2" t="s">
        <v>158</v>
      </c>
      <c r="D39" s="2" t="s">
        <v>267</v>
      </c>
      <c r="E39" s="2" t="s">
        <v>334</v>
      </c>
      <c r="F39" s="2"/>
      <c r="G39" s="36">
        <v>-75.0</v>
      </c>
      <c r="H39" s="2"/>
      <c r="I39" s="2" t="s">
        <v>269</v>
      </c>
      <c r="J39" s="2"/>
      <c r="K39" s="2"/>
    </row>
    <row r="40" ht="15.0" customHeight="1">
      <c r="A40" s="49">
        <v>46044.0</v>
      </c>
      <c r="B40" s="2" t="s">
        <v>335</v>
      </c>
      <c r="C40" s="2" t="s">
        <v>152</v>
      </c>
      <c r="D40" s="2" t="s">
        <v>270</v>
      </c>
      <c r="E40" s="2" t="s">
        <v>336</v>
      </c>
      <c r="F40" s="2"/>
      <c r="G40" s="36">
        <v>-8.23</v>
      </c>
      <c r="H40" s="2"/>
      <c r="I40" s="2" t="s">
        <v>272</v>
      </c>
      <c r="J40" s="2"/>
      <c r="K40" s="2"/>
    </row>
    <row r="41" ht="15.0" customHeight="1">
      <c r="A41" s="49">
        <v>46043.0</v>
      </c>
      <c r="B41" s="2" t="s">
        <v>337</v>
      </c>
      <c r="C41" s="2" t="s">
        <v>153</v>
      </c>
      <c r="D41" s="2" t="s">
        <v>270</v>
      </c>
      <c r="E41" s="2" t="s">
        <v>338</v>
      </c>
      <c r="F41" s="2"/>
      <c r="G41" s="36">
        <v>-500.0</v>
      </c>
      <c r="H41" s="2"/>
      <c r="I41" s="2" t="s">
        <v>272</v>
      </c>
      <c r="J41" s="2"/>
      <c r="K41" s="2"/>
    </row>
    <row r="42" ht="15.0" customHeight="1">
      <c r="A42" s="49">
        <v>46043.0</v>
      </c>
      <c r="B42" s="2" t="s">
        <v>339</v>
      </c>
      <c r="C42" s="2" t="s">
        <v>26</v>
      </c>
      <c r="D42" s="2" t="s">
        <v>270</v>
      </c>
      <c r="E42" s="2" t="s">
        <v>340</v>
      </c>
      <c r="F42" s="2"/>
      <c r="G42" s="36">
        <v>-17.11</v>
      </c>
      <c r="H42" s="2"/>
      <c r="I42" s="2" t="s">
        <v>272</v>
      </c>
      <c r="J42" s="2"/>
      <c r="K42" s="2"/>
    </row>
    <row r="43" ht="15.0" customHeight="1">
      <c r="A43" s="49">
        <v>46043.0</v>
      </c>
      <c r="B43" s="2" t="s">
        <v>341</v>
      </c>
      <c r="C43" s="2" t="s">
        <v>155</v>
      </c>
      <c r="D43" s="2" t="s">
        <v>277</v>
      </c>
      <c r="E43" s="2" t="s">
        <v>342</v>
      </c>
      <c r="F43" s="2"/>
      <c r="G43" s="36">
        <v>-23.0</v>
      </c>
      <c r="H43" s="2"/>
      <c r="I43" s="2" t="s">
        <v>269</v>
      </c>
      <c r="J43" s="2"/>
      <c r="K43" s="2"/>
    </row>
    <row r="44" ht="15.0" customHeight="1">
      <c r="A44" s="49">
        <v>46043.0</v>
      </c>
      <c r="B44" s="2" t="s">
        <v>164</v>
      </c>
      <c r="C44" s="2" t="s">
        <v>26</v>
      </c>
      <c r="D44" s="2" t="s">
        <v>277</v>
      </c>
      <c r="E44" s="2" t="s">
        <v>343</v>
      </c>
      <c r="F44" s="2"/>
      <c r="G44" s="36">
        <v>-151.16</v>
      </c>
      <c r="H44" s="2"/>
      <c r="I44" s="2" t="s">
        <v>269</v>
      </c>
      <c r="J44" s="2"/>
      <c r="K44" s="2"/>
    </row>
    <row r="45" ht="15.0" customHeight="1">
      <c r="A45" s="49">
        <v>46043.0</v>
      </c>
      <c r="B45" s="2" t="s">
        <v>165</v>
      </c>
      <c r="C45" s="2" t="s">
        <v>28</v>
      </c>
      <c r="D45" s="2" t="s">
        <v>277</v>
      </c>
      <c r="E45" s="2" t="s">
        <v>313</v>
      </c>
      <c r="F45" s="2"/>
      <c r="G45" s="36">
        <v>-29.55</v>
      </c>
      <c r="H45" s="2"/>
      <c r="I45" s="2" t="s">
        <v>269</v>
      </c>
      <c r="J45" s="2"/>
      <c r="K45" s="2"/>
    </row>
    <row r="46" ht="15.0" customHeight="1">
      <c r="A46" s="49">
        <v>46043.0</v>
      </c>
      <c r="B46" s="2" t="s">
        <v>344</v>
      </c>
      <c r="C46" s="2" t="s">
        <v>153</v>
      </c>
      <c r="D46" s="2" t="s">
        <v>267</v>
      </c>
      <c r="E46" s="2" t="s">
        <v>345</v>
      </c>
      <c r="F46" s="2"/>
      <c r="G46" s="36">
        <v>-29.99</v>
      </c>
      <c r="H46" s="2"/>
      <c r="I46" s="2" t="s">
        <v>269</v>
      </c>
      <c r="J46" s="2"/>
      <c r="K46" s="2"/>
    </row>
    <row r="47" ht="15.0" customHeight="1">
      <c r="A47" s="49">
        <v>46043.0</v>
      </c>
      <c r="B47" s="2" t="s">
        <v>346</v>
      </c>
      <c r="C47" s="2" t="s">
        <v>153</v>
      </c>
      <c r="D47" s="2" t="s">
        <v>267</v>
      </c>
      <c r="E47" s="2" t="s">
        <v>347</v>
      </c>
      <c r="F47" s="2"/>
      <c r="G47" s="36">
        <v>-65.33</v>
      </c>
      <c r="H47" s="2"/>
      <c r="I47" s="2" t="s">
        <v>269</v>
      </c>
      <c r="J47" s="2"/>
      <c r="K47" s="2"/>
    </row>
    <row r="48" ht="15.0" customHeight="1">
      <c r="A48" s="49">
        <v>46043.0</v>
      </c>
      <c r="B48" s="2" t="s">
        <v>348</v>
      </c>
      <c r="C48" s="2" t="s">
        <v>349</v>
      </c>
      <c r="D48" s="2" t="s">
        <v>267</v>
      </c>
      <c r="E48" s="2" t="s">
        <v>350</v>
      </c>
      <c r="F48" s="2"/>
      <c r="G48" s="36">
        <v>-22.19</v>
      </c>
      <c r="H48" s="2"/>
      <c r="I48" s="2" t="s">
        <v>269</v>
      </c>
      <c r="J48" s="2"/>
      <c r="K48" s="2"/>
    </row>
    <row r="49" ht="15.0" customHeight="1">
      <c r="A49" s="49">
        <v>46043.0</v>
      </c>
      <c r="B49" s="2" t="s">
        <v>348</v>
      </c>
      <c r="C49" s="2" t="s">
        <v>349</v>
      </c>
      <c r="D49" s="2" t="s">
        <v>267</v>
      </c>
      <c r="E49" s="2" t="s">
        <v>351</v>
      </c>
      <c r="F49" s="2"/>
      <c r="G49" s="36">
        <v>-169.02</v>
      </c>
      <c r="H49" s="2"/>
      <c r="I49" s="2" t="s">
        <v>269</v>
      </c>
      <c r="J49" s="2"/>
      <c r="K49" s="2"/>
    </row>
    <row r="50" ht="15.0" customHeight="1">
      <c r="A50" s="49">
        <v>46043.0</v>
      </c>
      <c r="B50" s="2" t="s">
        <v>352</v>
      </c>
      <c r="C50" s="2" t="s">
        <v>27</v>
      </c>
      <c r="D50" s="2" t="s">
        <v>353</v>
      </c>
      <c r="E50" s="2" t="s">
        <v>354</v>
      </c>
      <c r="F50" s="2"/>
      <c r="G50" s="36">
        <v>-118.42</v>
      </c>
      <c r="H50" s="2"/>
      <c r="I50" s="2" t="s">
        <v>272</v>
      </c>
      <c r="J50" s="2"/>
      <c r="K50" s="2"/>
    </row>
    <row r="51" ht="15.0" customHeight="1">
      <c r="A51" s="49">
        <v>46043.0</v>
      </c>
      <c r="B51" s="2" t="s">
        <v>352</v>
      </c>
      <c r="C51" s="2" t="s">
        <v>27</v>
      </c>
      <c r="D51" s="2" t="s">
        <v>353</v>
      </c>
      <c r="E51" s="2" t="s">
        <v>354</v>
      </c>
      <c r="F51" s="2"/>
      <c r="G51" s="36">
        <v>-21.09</v>
      </c>
      <c r="H51" s="2"/>
      <c r="I51" s="2" t="s">
        <v>272</v>
      </c>
      <c r="J51" s="2"/>
      <c r="K51" s="2"/>
    </row>
    <row r="52" ht="15.0" customHeight="1">
      <c r="A52" s="49">
        <v>46043.0</v>
      </c>
      <c r="B52" s="2" t="s">
        <v>355</v>
      </c>
      <c r="C52" s="2" t="s">
        <v>356</v>
      </c>
      <c r="D52" s="2" t="s">
        <v>296</v>
      </c>
      <c r="E52" s="2" t="s">
        <v>357</v>
      </c>
      <c r="F52" s="2"/>
      <c r="G52" s="36">
        <v>-40.0</v>
      </c>
      <c r="H52" s="2"/>
      <c r="I52" s="2" t="s">
        <v>272</v>
      </c>
      <c r="J52" s="2"/>
      <c r="K52" s="2"/>
    </row>
    <row r="53" ht="15.0" customHeight="1">
      <c r="A53" s="49">
        <v>46042.0</v>
      </c>
      <c r="B53" s="2" t="s">
        <v>358</v>
      </c>
      <c r="C53" s="2" t="s">
        <v>152</v>
      </c>
      <c r="D53" s="2" t="s">
        <v>270</v>
      </c>
      <c r="E53" s="2" t="s">
        <v>359</v>
      </c>
      <c r="F53" s="2"/>
      <c r="G53" s="36">
        <v>-36.04</v>
      </c>
      <c r="H53" s="2"/>
      <c r="I53" s="2" t="s">
        <v>272</v>
      </c>
      <c r="J53" s="2"/>
      <c r="K53" s="2"/>
    </row>
    <row r="54" ht="15.0" customHeight="1">
      <c r="A54" s="49">
        <v>46042.0</v>
      </c>
      <c r="B54" s="2" t="s">
        <v>360</v>
      </c>
      <c r="C54" s="2" t="s">
        <v>26</v>
      </c>
      <c r="D54" s="2" t="s">
        <v>270</v>
      </c>
      <c r="E54" s="2" t="s">
        <v>361</v>
      </c>
      <c r="F54" s="2"/>
      <c r="G54" s="36">
        <v>-221.31</v>
      </c>
      <c r="H54" s="2"/>
      <c r="I54" s="2" t="s">
        <v>272</v>
      </c>
      <c r="J54" s="2"/>
      <c r="K54" s="2"/>
    </row>
    <row r="55" ht="15.0" customHeight="1">
      <c r="A55" s="49">
        <v>46042.0</v>
      </c>
      <c r="B55" s="2" t="s">
        <v>276</v>
      </c>
      <c r="C55" s="2" t="s">
        <v>153</v>
      </c>
      <c r="D55" s="2" t="s">
        <v>270</v>
      </c>
      <c r="E55" s="2" t="s">
        <v>278</v>
      </c>
      <c r="F55" s="2"/>
      <c r="G55" s="36">
        <v>-12.99</v>
      </c>
      <c r="H55" s="2"/>
      <c r="I55" s="2" t="s">
        <v>272</v>
      </c>
      <c r="J55" s="2"/>
      <c r="K55" s="2"/>
    </row>
    <row r="56" ht="15.0" customHeight="1">
      <c r="A56" s="49">
        <v>46042.0</v>
      </c>
      <c r="B56" s="2" t="s">
        <v>362</v>
      </c>
      <c r="C56" s="2" t="s">
        <v>162</v>
      </c>
      <c r="D56" s="2" t="s">
        <v>277</v>
      </c>
      <c r="E56" s="2" t="s">
        <v>363</v>
      </c>
      <c r="F56" s="2"/>
      <c r="G56" s="36">
        <v>-12.0</v>
      </c>
      <c r="H56" s="2"/>
      <c r="I56" s="2" t="s">
        <v>269</v>
      </c>
      <c r="J56" s="2"/>
      <c r="K56" s="2"/>
    </row>
    <row r="57" ht="15.0" customHeight="1">
      <c r="A57" s="49">
        <v>46042.0</v>
      </c>
      <c r="B57" s="2" t="s">
        <v>164</v>
      </c>
      <c r="C57" s="2" t="s">
        <v>27</v>
      </c>
      <c r="D57" s="2" t="s">
        <v>277</v>
      </c>
      <c r="E57" s="2" t="s">
        <v>364</v>
      </c>
      <c r="F57" s="2"/>
      <c r="G57" s="36">
        <v>-33.68</v>
      </c>
      <c r="H57" s="2"/>
      <c r="I57" s="2" t="s">
        <v>269</v>
      </c>
      <c r="J57" s="2"/>
      <c r="K57" s="2"/>
    </row>
    <row r="58" ht="15.0" customHeight="1">
      <c r="A58" s="49">
        <v>46042.0</v>
      </c>
      <c r="B58" s="2" t="s">
        <v>164</v>
      </c>
      <c r="C58" s="2" t="s">
        <v>27</v>
      </c>
      <c r="D58" s="2" t="s">
        <v>277</v>
      </c>
      <c r="E58" s="2" t="s">
        <v>364</v>
      </c>
      <c r="F58" s="2"/>
      <c r="G58" s="36">
        <v>-33.68</v>
      </c>
      <c r="H58" s="2"/>
      <c r="I58" s="2" t="s">
        <v>269</v>
      </c>
      <c r="J58" s="2"/>
      <c r="K58" s="2"/>
    </row>
    <row r="59" ht="15.0" customHeight="1">
      <c r="A59" s="49">
        <v>46042.0</v>
      </c>
      <c r="B59" s="2" t="s">
        <v>164</v>
      </c>
      <c r="C59" s="2" t="s">
        <v>27</v>
      </c>
      <c r="D59" s="2" t="s">
        <v>277</v>
      </c>
      <c r="E59" s="2" t="s">
        <v>364</v>
      </c>
      <c r="F59" s="2"/>
      <c r="G59" s="36">
        <v>-24.07</v>
      </c>
      <c r="H59" s="2"/>
      <c r="I59" s="2" t="s">
        <v>269</v>
      </c>
      <c r="J59" s="2"/>
      <c r="K59" s="2"/>
    </row>
    <row r="60" ht="15.0" customHeight="1">
      <c r="A60" s="49">
        <v>46042.0</v>
      </c>
      <c r="B60" s="2" t="s">
        <v>164</v>
      </c>
      <c r="C60" s="2" t="s">
        <v>27</v>
      </c>
      <c r="D60" s="2" t="s">
        <v>277</v>
      </c>
      <c r="E60" s="2" t="s">
        <v>364</v>
      </c>
      <c r="F60" s="2"/>
      <c r="G60" s="36">
        <v>-22.97</v>
      </c>
      <c r="H60" s="2"/>
      <c r="I60" s="2" t="s">
        <v>269</v>
      </c>
      <c r="J60" s="2"/>
      <c r="K60" s="2"/>
    </row>
    <row r="61" ht="15.0" customHeight="1">
      <c r="A61" s="49">
        <v>46042.0</v>
      </c>
      <c r="B61" s="2" t="s">
        <v>164</v>
      </c>
      <c r="C61" s="2" t="s">
        <v>27</v>
      </c>
      <c r="D61" s="2" t="s">
        <v>277</v>
      </c>
      <c r="E61" s="2" t="s">
        <v>364</v>
      </c>
      <c r="F61" s="2"/>
      <c r="G61" s="36">
        <v>-21.7</v>
      </c>
      <c r="H61" s="2"/>
      <c r="I61" s="2" t="s">
        <v>269</v>
      </c>
      <c r="J61" s="2"/>
      <c r="K61" s="2"/>
    </row>
    <row r="62" ht="15.0" customHeight="1">
      <c r="A62" s="49">
        <v>46042.0</v>
      </c>
      <c r="B62" s="2" t="s">
        <v>164</v>
      </c>
      <c r="C62" s="2" t="s">
        <v>27</v>
      </c>
      <c r="D62" s="2" t="s">
        <v>277</v>
      </c>
      <c r="E62" s="2" t="s">
        <v>274</v>
      </c>
      <c r="F62" s="2"/>
      <c r="G62" s="36">
        <v>-37.02</v>
      </c>
      <c r="H62" s="2"/>
      <c r="I62" s="2" t="s">
        <v>269</v>
      </c>
      <c r="J62" s="2"/>
      <c r="K62" s="2"/>
    </row>
    <row r="63" ht="15.0" customHeight="1">
      <c r="A63" s="49">
        <v>46042.0</v>
      </c>
      <c r="B63" s="2" t="s">
        <v>164</v>
      </c>
      <c r="C63" s="2" t="s">
        <v>27</v>
      </c>
      <c r="D63" s="2" t="s">
        <v>277</v>
      </c>
      <c r="E63" s="2" t="s">
        <v>274</v>
      </c>
      <c r="F63" s="2"/>
      <c r="G63" s="36">
        <v>-35.83</v>
      </c>
      <c r="H63" s="2"/>
      <c r="I63" s="2" t="s">
        <v>269</v>
      </c>
      <c r="J63" s="2"/>
      <c r="K63" s="2"/>
    </row>
    <row r="64" ht="15.0" customHeight="1">
      <c r="A64" s="49">
        <v>46042.0</v>
      </c>
      <c r="B64" s="2" t="s">
        <v>164</v>
      </c>
      <c r="C64" s="2" t="s">
        <v>27</v>
      </c>
      <c r="D64" s="2" t="s">
        <v>277</v>
      </c>
      <c r="E64" s="2" t="s">
        <v>274</v>
      </c>
      <c r="F64" s="2"/>
      <c r="G64" s="36">
        <v>-35.83</v>
      </c>
      <c r="H64" s="2"/>
      <c r="I64" s="2" t="s">
        <v>269</v>
      </c>
      <c r="J64" s="2"/>
      <c r="K64" s="2"/>
    </row>
    <row r="65" ht="15.0" customHeight="1">
      <c r="A65" s="49">
        <v>46042.0</v>
      </c>
      <c r="B65" s="2" t="s">
        <v>365</v>
      </c>
      <c r="C65" s="2" t="s">
        <v>28</v>
      </c>
      <c r="D65" s="2" t="s">
        <v>267</v>
      </c>
      <c r="E65" s="2" t="s">
        <v>366</v>
      </c>
      <c r="F65" s="2"/>
      <c r="G65" s="36">
        <v>-45.81</v>
      </c>
      <c r="H65" s="2"/>
      <c r="I65" s="2" t="s">
        <v>269</v>
      </c>
      <c r="J65" s="2"/>
      <c r="K65" s="2"/>
    </row>
    <row r="66" ht="15.0" customHeight="1">
      <c r="A66" s="49">
        <v>46042.0</v>
      </c>
      <c r="B66" s="2" t="s">
        <v>367</v>
      </c>
      <c r="C66" s="2" t="s">
        <v>162</v>
      </c>
      <c r="D66" s="2" t="s">
        <v>267</v>
      </c>
      <c r="E66" s="2" t="s">
        <v>368</v>
      </c>
      <c r="F66" s="2"/>
      <c r="G66" s="36">
        <v>-5.45</v>
      </c>
      <c r="H66" s="2"/>
      <c r="I66" s="2" t="s">
        <v>269</v>
      </c>
      <c r="J66" s="2"/>
      <c r="K66" s="2"/>
    </row>
    <row r="67" ht="15.0" customHeight="1">
      <c r="A67" s="49">
        <v>46042.0</v>
      </c>
      <c r="B67" s="2" t="s">
        <v>369</v>
      </c>
      <c r="C67" s="2" t="s">
        <v>370</v>
      </c>
      <c r="D67" s="2" t="s">
        <v>267</v>
      </c>
      <c r="E67" s="2" t="s">
        <v>371</v>
      </c>
      <c r="F67" s="2"/>
      <c r="G67" s="36">
        <v>-13.86</v>
      </c>
      <c r="H67" s="2"/>
      <c r="I67" s="2" t="s">
        <v>269</v>
      </c>
      <c r="J67" s="2"/>
      <c r="K67" s="2"/>
    </row>
    <row r="68" ht="15.0" customHeight="1">
      <c r="A68" s="49">
        <v>46042.0</v>
      </c>
      <c r="B68" s="2" t="s">
        <v>372</v>
      </c>
      <c r="C68" s="2" t="s">
        <v>161</v>
      </c>
      <c r="D68" s="2" t="s">
        <v>267</v>
      </c>
      <c r="E68" s="2" t="s">
        <v>373</v>
      </c>
      <c r="F68" s="2"/>
      <c r="G68" s="36">
        <v>-7.69</v>
      </c>
      <c r="H68" s="2"/>
      <c r="I68" s="2" t="s">
        <v>269</v>
      </c>
      <c r="J68" s="2"/>
      <c r="K68" s="2"/>
    </row>
    <row r="69" ht="15.0" customHeight="1">
      <c r="A69" s="49">
        <v>46041.0</v>
      </c>
      <c r="B69" s="2" t="s">
        <v>166</v>
      </c>
      <c r="C69" s="2" t="s">
        <v>26</v>
      </c>
      <c r="D69" s="2" t="s">
        <v>270</v>
      </c>
      <c r="E69" s="2" t="s">
        <v>374</v>
      </c>
      <c r="F69" s="2"/>
      <c r="G69" s="36">
        <v>-149.17</v>
      </c>
      <c r="H69" s="2"/>
      <c r="I69" s="2" t="s">
        <v>272</v>
      </c>
      <c r="J69" s="2"/>
      <c r="K69" s="2"/>
    </row>
    <row r="70" ht="15.0" customHeight="1">
      <c r="A70" s="49">
        <v>46041.0</v>
      </c>
      <c r="B70" s="2" t="s">
        <v>166</v>
      </c>
      <c r="C70" s="2" t="s">
        <v>26</v>
      </c>
      <c r="D70" s="2" t="s">
        <v>270</v>
      </c>
      <c r="E70" s="2" t="s">
        <v>375</v>
      </c>
      <c r="F70" s="2"/>
      <c r="G70" s="36">
        <v>-62.32</v>
      </c>
      <c r="H70" s="2"/>
      <c r="I70" s="2" t="s">
        <v>272</v>
      </c>
      <c r="J70" s="2"/>
      <c r="K70" s="2"/>
    </row>
    <row r="71" ht="15.0" customHeight="1">
      <c r="A71" s="49">
        <v>46041.0</v>
      </c>
      <c r="B71" s="2" t="s">
        <v>166</v>
      </c>
      <c r="C71" s="2" t="s">
        <v>26</v>
      </c>
      <c r="D71" s="2" t="s">
        <v>270</v>
      </c>
      <c r="E71" s="2" t="s">
        <v>375</v>
      </c>
      <c r="F71" s="2"/>
      <c r="G71" s="36">
        <v>-2.95</v>
      </c>
      <c r="H71" s="2"/>
      <c r="I71" s="2" t="s">
        <v>272</v>
      </c>
      <c r="J71" s="2"/>
      <c r="K71" s="2"/>
    </row>
    <row r="72" ht="15.0" customHeight="1">
      <c r="A72" s="49">
        <v>46041.0</v>
      </c>
      <c r="B72" s="2" t="s">
        <v>164</v>
      </c>
      <c r="C72" s="2" t="s">
        <v>27</v>
      </c>
      <c r="D72" s="2" t="s">
        <v>273</v>
      </c>
      <c r="E72" s="2" t="s">
        <v>274</v>
      </c>
      <c r="F72" s="2"/>
      <c r="G72" s="36">
        <v>-33.75</v>
      </c>
      <c r="H72" s="2"/>
      <c r="I72" s="2" t="s">
        <v>272</v>
      </c>
      <c r="J72" s="2"/>
      <c r="K72" s="2"/>
    </row>
    <row r="73" ht="15.0" customHeight="1">
      <c r="A73" s="49">
        <v>46041.0</v>
      </c>
      <c r="B73" s="2" t="s">
        <v>376</v>
      </c>
      <c r="C73" s="2" t="s">
        <v>152</v>
      </c>
      <c r="D73" s="2" t="s">
        <v>277</v>
      </c>
      <c r="E73" s="2" t="s">
        <v>377</v>
      </c>
      <c r="F73" s="2"/>
      <c r="G73" s="36">
        <v>-42.52</v>
      </c>
      <c r="H73" s="2"/>
      <c r="I73" s="2" t="s">
        <v>269</v>
      </c>
      <c r="J73" s="2"/>
      <c r="K73" s="2"/>
    </row>
    <row r="74" ht="15.0" customHeight="1">
      <c r="A74" s="49">
        <v>46041.0</v>
      </c>
      <c r="B74" s="2" t="s">
        <v>376</v>
      </c>
      <c r="C74" s="2" t="s">
        <v>152</v>
      </c>
      <c r="D74" s="2" t="s">
        <v>277</v>
      </c>
      <c r="E74" s="2" t="s">
        <v>377</v>
      </c>
      <c r="F74" s="2"/>
      <c r="G74" s="36">
        <v>-23.82</v>
      </c>
      <c r="H74" s="2"/>
      <c r="I74" s="2" t="s">
        <v>269</v>
      </c>
      <c r="J74" s="2"/>
      <c r="K74" s="2"/>
    </row>
    <row r="75" ht="15.0" customHeight="1">
      <c r="A75" s="49">
        <v>46041.0</v>
      </c>
      <c r="B75" s="2" t="s">
        <v>335</v>
      </c>
      <c r="C75" s="2" t="s">
        <v>152</v>
      </c>
      <c r="D75" s="2" t="s">
        <v>277</v>
      </c>
      <c r="E75" s="2" t="s">
        <v>378</v>
      </c>
      <c r="F75" s="2"/>
      <c r="G75" s="36">
        <v>-40.62</v>
      </c>
      <c r="H75" s="2"/>
      <c r="I75" s="2" t="s">
        <v>269</v>
      </c>
      <c r="J75" s="2"/>
      <c r="K75" s="2"/>
    </row>
    <row r="76" ht="15.0" customHeight="1">
      <c r="A76" s="49">
        <v>46041.0</v>
      </c>
      <c r="B76" s="2" t="s">
        <v>335</v>
      </c>
      <c r="C76" s="2" t="s">
        <v>152</v>
      </c>
      <c r="D76" s="2" t="s">
        <v>277</v>
      </c>
      <c r="E76" s="2" t="s">
        <v>379</v>
      </c>
      <c r="F76" s="2"/>
      <c r="G76" s="36">
        <v>-12.91</v>
      </c>
      <c r="H76" s="2"/>
      <c r="I76" s="2" t="s">
        <v>269</v>
      </c>
      <c r="J76" s="2"/>
      <c r="K76" s="2"/>
    </row>
    <row r="77" ht="15.0" customHeight="1">
      <c r="A77" s="49">
        <v>46041.0</v>
      </c>
      <c r="B77" s="2" t="s">
        <v>335</v>
      </c>
      <c r="C77" s="2" t="s">
        <v>152</v>
      </c>
      <c r="D77" s="2" t="s">
        <v>277</v>
      </c>
      <c r="E77" s="2" t="s">
        <v>380</v>
      </c>
      <c r="F77" s="2"/>
      <c r="G77" s="36">
        <v>-4.11</v>
      </c>
      <c r="H77" s="2"/>
      <c r="I77" s="2" t="s">
        <v>269</v>
      </c>
      <c r="J77" s="2"/>
      <c r="K77" s="2"/>
    </row>
    <row r="78" ht="15.0" customHeight="1">
      <c r="A78" s="49">
        <v>46041.0</v>
      </c>
      <c r="B78" s="2" t="s">
        <v>381</v>
      </c>
      <c r="C78" s="2" t="s">
        <v>156</v>
      </c>
      <c r="D78" s="2" t="s">
        <v>277</v>
      </c>
      <c r="E78" s="2" t="s">
        <v>382</v>
      </c>
      <c r="F78" s="2"/>
      <c r="G78" s="36">
        <v>-83.24</v>
      </c>
      <c r="H78" s="2"/>
      <c r="I78" s="2" t="s">
        <v>269</v>
      </c>
      <c r="J78" s="2"/>
      <c r="K78" s="2"/>
    </row>
    <row r="79" ht="15.0" customHeight="1">
      <c r="A79" s="49">
        <v>46041.0</v>
      </c>
      <c r="B79" s="2" t="s">
        <v>321</v>
      </c>
      <c r="C79" s="2" t="s">
        <v>152</v>
      </c>
      <c r="D79" s="2" t="s">
        <v>277</v>
      </c>
      <c r="E79" s="2" t="s">
        <v>383</v>
      </c>
      <c r="F79" s="2"/>
      <c r="G79" s="36">
        <v>-9.73</v>
      </c>
      <c r="H79" s="2"/>
      <c r="I79" s="2" t="s">
        <v>269</v>
      </c>
      <c r="J79" s="2"/>
      <c r="K79" s="2"/>
    </row>
    <row r="80" ht="15.0" customHeight="1">
      <c r="A80" s="49">
        <v>46041.0</v>
      </c>
      <c r="B80" s="2" t="s">
        <v>352</v>
      </c>
      <c r="C80" s="2" t="s">
        <v>27</v>
      </c>
      <c r="D80" s="2" t="s">
        <v>353</v>
      </c>
      <c r="E80" s="2" t="s">
        <v>354</v>
      </c>
      <c r="F80" s="2"/>
      <c r="G80" s="36">
        <v>-21.65</v>
      </c>
      <c r="H80" s="2"/>
      <c r="I80" s="2" t="s">
        <v>272</v>
      </c>
      <c r="J80" s="2"/>
      <c r="K80" s="2"/>
    </row>
    <row r="81" ht="15.0" customHeight="1">
      <c r="A81" s="49">
        <v>46041.0</v>
      </c>
      <c r="B81" s="2" t="s">
        <v>352</v>
      </c>
      <c r="C81" s="2" t="s">
        <v>27</v>
      </c>
      <c r="D81" s="2" t="s">
        <v>353</v>
      </c>
      <c r="E81" s="2" t="s">
        <v>354</v>
      </c>
      <c r="F81" s="2"/>
      <c r="G81" s="36">
        <v>-21.09</v>
      </c>
      <c r="H81" s="2"/>
      <c r="I81" s="2" t="s">
        <v>272</v>
      </c>
      <c r="J81" s="2"/>
      <c r="K81" s="2"/>
    </row>
    <row r="82" ht="15.0" customHeight="1">
      <c r="A82" s="49">
        <v>46041.0</v>
      </c>
      <c r="B82" s="2" t="s">
        <v>352</v>
      </c>
      <c r="C82" s="2" t="s">
        <v>27</v>
      </c>
      <c r="D82" s="2" t="s">
        <v>353</v>
      </c>
      <c r="E82" s="2" t="s">
        <v>354</v>
      </c>
      <c r="F82" s="2"/>
      <c r="G82" s="36">
        <v>-21.0</v>
      </c>
      <c r="H82" s="2"/>
      <c r="I82" s="2" t="s">
        <v>272</v>
      </c>
      <c r="J82" s="2"/>
      <c r="K82" s="2"/>
    </row>
    <row r="83" ht="15.0" customHeight="1">
      <c r="A83" s="49">
        <v>46041.0</v>
      </c>
      <c r="B83" s="2" t="s">
        <v>384</v>
      </c>
      <c r="C83" s="2" t="s">
        <v>155</v>
      </c>
      <c r="D83" s="2" t="s">
        <v>296</v>
      </c>
      <c r="E83" s="2" t="s">
        <v>385</v>
      </c>
      <c r="F83" s="2"/>
      <c r="G83" s="36">
        <v>-5.0</v>
      </c>
      <c r="H83" s="2"/>
      <c r="I83" s="2" t="s">
        <v>272</v>
      </c>
      <c r="J83" s="2"/>
      <c r="K83" s="2"/>
    </row>
    <row r="84" ht="15.0" customHeight="1">
      <c r="A84" s="49">
        <v>46041.0</v>
      </c>
      <c r="B84" s="2" t="s">
        <v>384</v>
      </c>
      <c r="C84" s="2" t="s">
        <v>155</v>
      </c>
      <c r="D84" s="2" t="s">
        <v>296</v>
      </c>
      <c r="E84" s="2" t="s">
        <v>385</v>
      </c>
      <c r="F84" s="2"/>
      <c r="G84" s="36">
        <v>-10.23</v>
      </c>
      <c r="H84" s="2"/>
      <c r="I84" s="2" t="s">
        <v>272</v>
      </c>
      <c r="J84" s="2"/>
      <c r="K84" s="2"/>
    </row>
    <row r="85" ht="15.0" customHeight="1">
      <c r="A85" s="49">
        <v>46040.0</v>
      </c>
      <c r="B85" s="2" t="s">
        <v>386</v>
      </c>
      <c r="C85" s="2" t="s">
        <v>387</v>
      </c>
      <c r="D85" s="2" t="s">
        <v>270</v>
      </c>
      <c r="E85" s="2" t="s">
        <v>388</v>
      </c>
      <c r="F85" s="2"/>
      <c r="G85" s="36">
        <v>-1.99</v>
      </c>
      <c r="H85" s="2"/>
      <c r="I85" s="2" t="s">
        <v>272</v>
      </c>
      <c r="J85" s="2"/>
      <c r="K85" s="2"/>
    </row>
    <row r="86" ht="15.0" customHeight="1">
      <c r="A86" s="49">
        <v>46040.0</v>
      </c>
      <c r="B86" s="2" t="s">
        <v>389</v>
      </c>
      <c r="C86" s="2" t="s">
        <v>156</v>
      </c>
      <c r="D86" s="2" t="s">
        <v>277</v>
      </c>
      <c r="E86" s="2" t="s">
        <v>390</v>
      </c>
      <c r="F86" s="2"/>
      <c r="G86" s="36">
        <v>-154.96</v>
      </c>
      <c r="H86" s="2"/>
      <c r="I86" s="2" t="s">
        <v>269</v>
      </c>
      <c r="J86" s="2"/>
      <c r="K86" s="2"/>
    </row>
    <row r="87" ht="15.0" customHeight="1">
      <c r="A87" s="49">
        <v>46040.0</v>
      </c>
      <c r="B87" s="2" t="s">
        <v>166</v>
      </c>
      <c r="C87" s="2" t="s">
        <v>26</v>
      </c>
      <c r="D87" s="2" t="s">
        <v>270</v>
      </c>
      <c r="E87" s="2" t="s">
        <v>374</v>
      </c>
      <c r="F87" s="2"/>
      <c r="G87" s="36">
        <v>-16.03</v>
      </c>
      <c r="H87" s="2"/>
      <c r="I87" s="2" t="s">
        <v>272</v>
      </c>
      <c r="J87" s="2"/>
      <c r="K87" s="2"/>
    </row>
    <row r="88" ht="15.0" customHeight="1">
      <c r="A88" s="49">
        <v>46040.0</v>
      </c>
      <c r="B88" s="2" t="s">
        <v>391</v>
      </c>
      <c r="C88" s="2" t="s">
        <v>387</v>
      </c>
      <c r="D88" s="2" t="s">
        <v>270</v>
      </c>
      <c r="E88" s="2" t="s">
        <v>392</v>
      </c>
      <c r="F88" s="2"/>
      <c r="G88" s="36">
        <v>-4.0</v>
      </c>
      <c r="H88" s="2"/>
      <c r="I88" s="2" t="s">
        <v>272</v>
      </c>
      <c r="J88" s="2"/>
      <c r="K88" s="2"/>
    </row>
    <row r="89" ht="15.0" customHeight="1">
      <c r="A89" s="49">
        <v>46040.0</v>
      </c>
      <c r="B89" s="2" t="s">
        <v>393</v>
      </c>
      <c r="C89" s="2" t="s">
        <v>155</v>
      </c>
      <c r="D89" s="2" t="s">
        <v>270</v>
      </c>
      <c r="E89" s="2" t="s">
        <v>394</v>
      </c>
      <c r="F89" s="2"/>
      <c r="G89" s="36">
        <v>-5.0</v>
      </c>
      <c r="H89" s="2"/>
      <c r="I89" s="2" t="s">
        <v>272</v>
      </c>
      <c r="J89" s="2"/>
      <c r="K89" s="2"/>
    </row>
    <row r="90" ht="15.0" customHeight="1">
      <c r="A90" s="49">
        <v>46040.0</v>
      </c>
      <c r="B90" s="2" t="s">
        <v>395</v>
      </c>
      <c r="C90" s="2" t="s">
        <v>396</v>
      </c>
      <c r="D90" s="2" t="s">
        <v>277</v>
      </c>
      <c r="E90" s="2" t="s">
        <v>397</v>
      </c>
      <c r="F90" s="2"/>
      <c r="G90" s="36">
        <v>-967.24</v>
      </c>
      <c r="H90" s="2"/>
      <c r="I90" s="2" t="s">
        <v>269</v>
      </c>
      <c r="J90" s="2"/>
      <c r="K90" s="2"/>
    </row>
    <row r="91" ht="15.0" customHeight="1">
      <c r="A91" s="49">
        <v>46040.0</v>
      </c>
      <c r="B91" s="2" t="s">
        <v>398</v>
      </c>
      <c r="C91" s="2" t="s">
        <v>399</v>
      </c>
      <c r="D91" s="2" t="s">
        <v>277</v>
      </c>
      <c r="E91" s="2" t="s">
        <v>400</v>
      </c>
      <c r="F91" s="2"/>
      <c r="G91" s="36">
        <v>-1116.0</v>
      </c>
      <c r="H91" s="2"/>
      <c r="I91" s="2" t="s">
        <v>269</v>
      </c>
      <c r="J91" s="2"/>
      <c r="K91" s="2"/>
    </row>
    <row r="92" ht="15.0" customHeight="1">
      <c r="A92" s="49">
        <v>46039.0</v>
      </c>
      <c r="B92" s="2" t="s">
        <v>165</v>
      </c>
      <c r="C92" s="2" t="s">
        <v>28</v>
      </c>
      <c r="D92" s="2" t="s">
        <v>273</v>
      </c>
      <c r="E92" s="2" t="s">
        <v>313</v>
      </c>
      <c r="F92" s="2"/>
      <c r="G92" s="36">
        <v>-43.94</v>
      </c>
      <c r="H92" s="2"/>
      <c r="I92" s="2" t="s">
        <v>272</v>
      </c>
      <c r="J92" s="2"/>
      <c r="K92" s="2"/>
    </row>
    <row r="93" ht="15.0" customHeight="1">
      <c r="A93" s="49">
        <v>46039.0</v>
      </c>
      <c r="B93" s="2" t="s">
        <v>381</v>
      </c>
      <c r="C93" s="2" t="s">
        <v>156</v>
      </c>
      <c r="D93" s="2" t="s">
        <v>277</v>
      </c>
      <c r="E93" s="2" t="s">
        <v>382</v>
      </c>
      <c r="F93" s="2"/>
      <c r="G93" s="36">
        <v>-106.72</v>
      </c>
      <c r="H93" s="2"/>
      <c r="I93" s="2" t="s">
        <v>269</v>
      </c>
      <c r="J93" s="2"/>
      <c r="K93" s="2"/>
    </row>
    <row r="94" ht="15.0" customHeight="1">
      <c r="A94" s="49">
        <v>46038.0</v>
      </c>
      <c r="B94" s="2" t="s">
        <v>401</v>
      </c>
      <c r="C94" s="2" t="s">
        <v>28</v>
      </c>
      <c r="D94" s="2" t="s">
        <v>277</v>
      </c>
      <c r="E94" s="2" t="s">
        <v>402</v>
      </c>
      <c r="F94" s="2"/>
      <c r="G94" s="36">
        <v>-3.28</v>
      </c>
      <c r="H94" s="2"/>
      <c r="I94" s="2" t="s">
        <v>269</v>
      </c>
      <c r="J94" s="2"/>
      <c r="K94" s="2"/>
    </row>
    <row r="95" ht="15.0" customHeight="1">
      <c r="A95" s="49">
        <v>46038.0</v>
      </c>
      <c r="B95" s="2" t="s">
        <v>403</v>
      </c>
      <c r="C95" s="2" t="s">
        <v>152</v>
      </c>
      <c r="D95" s="2" t="s">
        <v>277</v>
      </c>
      <c r="E95" s="2" t="s">
        <v>404</v>
      </c>
      <c r="F95" s="2"/>
      <c r="G95" s="36">
        <v>-1.91</v>
      </c>
      <c r="H95" s="2"/>
      <c r="I95" s="2" t="s">
        <v>269</v>
      </c>
      <c r="J95" s="2"/>
      <c r="K95" s="2"/>
    </row>
    <row r="96" ht="15.0" customHeight="1">
      <c r="A96" s="49">
        <v>46038.0</v>
      </c>
      <c r="B96" s="2" t="s">
        <v>319</v>
      </c>
      <c r="C96" s="2" t="s">
        <v>28</v>
      </c>
      <c r="D96" s="2" t="s">
        <v>277</v>
      </c>
      <c r="E96" s="2" t="s">
        <v>405</v>
      </c>
      <c r="F96" s="2"/>
      <c r="G96" s="36">
        <v>-15.95</v>
      </c>
      <c r="H96" s="2"/>
      <c r="I96" s="2" t="s">
        <v>269</v>
      </c>
      <c r="J96" s="2"/>
      <c r="K96" s="2"/>
    </row>
    <row r="97" ht="15.0" customHeight="1">
      <c r="A97" s="49">
        <v>46038.0</v>
      </c>
      <c r="B97" s="2" t="s">
        <v>166</v>
      </c>
      <c r="C97" s="2" t="s">
        <v>26</v>
      </c>
      <c r="D97" s="2" t="s">
        <v>270</v>
      </c>
      <c r="E97" s="2" t="s">
        <v>374</v>
      </c>
      <c r="F97" s="2"/>
      <c r="G97" s="36">
        <v>-63.63</v>
      </c>
      <c r="H97" s="2"/>
      <c r="I97" s="2" t="s">
        <v>272</v>
      </c>
      <c r="J97" s="2"/>
      <c r="K97" s="2"/>
    </row>
    <row r="98" ht="15.0" customHeight="1">
      <c r="A98" s="49">
        <v>46038.0</v>
      </c>
      <c r="B98" s="2" t="s">
        <v>321</v>
      </c>
      <c r="C98" s="2" t="s">
        <v>152</v>
      </c>
      <c r="D98" s="2" t="s">
        <v>270</v>
      </c>
      <c r="E98" s="2" t="s">
        <v>406</v>
      </c>
      <c r="F98" s="2"/>
      <c r="G98" s="36">
        <v>-18.1</v>
      </c>
      <c r="H98" s="2"/>
      <c r="I98" s="2" t="s">
        <v>272</v>
      </c>
      <c r="J98" s="2"/>
      <c r="K98" s="2"/>
    </row>
    <row r="99" ht="15.0" customHeight="1">
      <c r="A99" s="49">
        <v>46038.0</v>
      </c>
      <c r="B99" s="2" t="s">
        <v>407</v>
      </c>
      <c r="C99" s="2" t="s">
        <v>27</v>
      </c>
      <c r="D99" s="2" t="s">
        <v>270</v>
      </c>
      <c r="E99" s="2" t="s">
        <v>408</v>
      </c>
      <c r="F99" s="2"/>
      <c r="G99" s="36">
        <v>-91.9</v>
      </c>
      <c r="H99" s="2"/>
      <c r="I99" s="2" t="s">
        <v>272</v>
      </c>
      <c r="J99" s="2"/>
      <c r="K99" s="2"/>
    </row>
    <row r="100" ht="15.0" customHeight="1">
      <c r="A100" s="49">
        <v>46038.0</v>
      </c>
      <c r="B100" s="2" t="s">
        <v>352</v>
      </c>
      <c r="C100" s="2" t="s">
        <v>27</v>
      </c>
      <c r="D100" s="2" t="s">
        <v>353</v>
      </c>
      <c r="E100" s="2" t="s">
        <v>354</v>
      </c>
      <c r="F100" s="2"/>
      <c r="G100" s="36">
        <v>-42.18</v>
      </c>
      <c r="H100" s="2"/>
      <c r="I100" s="2" t="s">
        <v>272</v>
      </c>
      <c r="J100" s="2"/>
      <c r="K100" s="2"/>
    </row>
    <row r="101" ht="15.0" customHeight="1">
      <c r="A101" s="49">
        <v>46038.0</v>
      </c>
      <c r="B101" s="2" t="s">
        <v>409</v>
      </c>
      <c r="C101" s="2" t="s">
        <v>155</v>
      </c>
      <c r="D101" s="2" t="s">
        <v>296</v>
      </c>
      <c r="E101" s="2" t="s">
        <v>410</v>
      </c>
      <c r="F101" s="2"/>
      <c r="G101" s="36">
        <v>-20.0</v>
      </c>
      <c r="H101" s="2"/>
      <c r="I101" s="2" t="s">
        <v>272</v>
      </c>
      <c r="J101" s="2"/>
      <c r="K101" s="2"/>
    </row>
    <row r="102" ht="15.0" customHeight="1">
      <c r="A102" s="49">
        <v>46038.0</v>
      </c>
      <c r="B102" s="2" t="s">
        <v>411</v>
      </c>
      <c r="C102" s="2" t="s">
        <v>412</v>
      </c>
      <c r="D102" s="2" t="s">
        <v>267</v>
      </c>
      <c r="E102" s="2" t="s">
        <v>413</v>
      </c>
      <c r="F102" s="2"/>
      <c r="G102" s="36">
        <v>3851.73</v>
      </c>
      <c r="H102" s="2"/>
      <c r="I102" s="2" t="s">
        <v>269</v>
      </c>
      <c r="J102" s="2"/>
      <c r="K102" s="2"/>
    </row>
    <row r="103" ht="15.0" customHeight="1">
      <c r="A103" s="49">
        <v>46038.0</v>
      </c>
      <c r="B103" s="2" t="s">
        <v>411</v>
      </c>
      <c r="C103" s="2" t="s">
        <v>412</v>
      </c>
      <c r="D103" s="2" t="s">
        <v>267</v>
      </c>
      <c r="E103" s="2" t="s">
        <v>413</v>
      </c>
      <c r="F103" s="2"/>
      <c r="G103" s="36">
        <v>22367.55</v>
      </c>
      <c r="H103" s="2"/>
      <c r="I103" s="2" t="s">
        <v>269</v>
      </c>
      <c r="J103" s="2"/>
      <c r="K103" s="2"/>
    </row>
    <row r="104" ht="15.0" customHeight="1">
      <c r="A104" s="49">
        <v>46038.0</v>
      </c>
      <c r="B104" s="2" t="s">
        <v>414</v>
      </c>
      <c r="C104" s="2" t="s">
        <v>160</v>
      </c>
      <c r="D104" s="2" t="s">
        <v>267</v>
      </c>
      <c r="E104" s="2" t="s">
        <v>415</v>
      </c>
      <c r="F104" s="2"/>
      <c r="G104" s="36">
        <v>-38.99</v>
      </c>
      <c r="H104" s="2"/>
      <c r="I104" s="2" t="s">
        <v>269</v>
      </c>
      <c r="J104" s="2"/>
      <c r="K104" s="2"/>
    </row>
    <row r="105" ht="15.0" customHeight="1">
      <c r="A105" s="49">
        <v>46038.0</v>
      </c>
      <c r="B105" s="2" t="s">
        <v>416</v>
      </c>
      <c r="C105" s="2" t="s">
        <v>370</v>
      </c>
      <c r="D105" s="2" t="s">
        <v>267</v>
      </c>
      <c r="E105" s="2" t="s">
        <v>417</v>
      </c>
      <c r="F105" s="2"/>
      <c r="G105" s="36">
        <v>-37.93</v>
      </c>
      <c r="H105" s="2"/>
      <c r="I105" s="2" t="s">
        <v>269</v>
      </c>
      <c r="J105" s="2"/>
      <c r="K105" s="2"/>
    </row>
    <row r="106" ht="15.0" customHeight="1">
      <c r="A106" s="49">
        <v>46037.0</v>
      </c>
      <c r="B106" s="2" t="s">
        <v>319</v>
      </c>
      <c r="C106" s="2" t="s">
        <v>28</v>
      </c>
      <c r="D106" s="2" t="s">
        <v>270</v>
      </c>
      <c r="E106" s="2" t="s">
        <v>418</v>
      </c>
      <c r="F106" s="2"/>
      <c r="G106" s="36">
        <v>-19.44</v>
      </c>
      <c r="H106" s="2"/>
      <c r="I106" s="2" t="s">
        <v>272</v>
      </c>
      <c r="J106" s="2"/>
      <c r="K106" s="2"/>
    </row>
    <row r="107" ht="15.0" customHeight="1">
      <c r="A107" s="49">
        <v>46037.0</v>
      </c>
      <c r="B107" s="2" t="s">
        <v>419</v>
      </c>
      <c r="C107" s="2" t="s">
        <v>292</v>
      </c>
      <c r="D107" s="2" t="s">
        <v>277</v>
      </c>
      <c r="E107" s="2" t="s">
        <v>420</v>
      </c>
      <c r="F107" s="2"/>
      <c r="G107" s="36">
        <v>-27.0</v>
      </c>
      <c r="H107" s="2"/>
      <c r="I107" s="2" t="s">
        <v>269</v>
      </c>
      <c r="J107" s="2"/>
      <c r="K107" s="2"/>
    </row>
    <row r="108" ht="15.0" customHeight="1">
      <c r="A108" s="49">
        <v>46037.0</v>
      </c>
      <c r="B108" s="2" t="s">
        <v>421</v>
      </c>
      <c r="C108" s="2" t="s">
        <v>281</v>
      </c>
      <c r="D108" s="2" t="s">
        <v>277</v>
      </c>
      <c r="E108" s="2" t="s">
        <v>422</v>
      </c>
      <c r="F108" s="2"/>
      <c r="G108" s="36">
        <v>-8.4</v>
      </c>
      <c r="H108" s="2"/>
      <c r="I108" s="2" t="s">
        <v>269</v>
      </c>
      <c r="J108" s="2"/>
      <c r="K108" s="2"/>
    </row>
    <row r="109" ht="15.0" customHeight="1">
      <c r="A109" s="49">
        <v>46037.0</v>
      </c>
      <c r="B109" s="2" t="s">
        <v>423</v>
      </c>
      <c r="C109" s="2" t="s">
        <v>152</v>
      </c>
      <c r="D109" s="2" t="s">
        <v>277</v>
      </c>
      <c r="E109" s="2" t="s">
        <v>424</v>
      </c>
      <c r="F109" s="2"/>
      <c r="G109" s="36">
        <v>-168.0</v>
      </c>
      <c r="H109" s="2"/>
      <c r="I109" s="2" t="s">
        <v>269</v>
      </c>
      <c r="J109" s="2"/>
      <c r="K109" s="2"/>
    </row>
    <row r="110" ht="15.0" customHeight="1">
      <c r="A110" s="49">
        <v>46037.0</v>
      </c>
      <c r="B110" s="2" t="s">
        <v>425</v>
      </c>
      <c r="C110" s="2" t="s">
        <v>426</v>
      </c>
      <c r="D110" s="2" t="s">
        <v>277</v>
      </c>
      <c r="E110" s="2" t="s">
        <v>427</v>
      </c>
      <c r="F110" s="2"/>
      <c r="G110" s="36">
        <v>-104.29</v>
      </c>
      <c r="H110" s="2"/>
      <c r="I110" s="2" t="s">
        <v>269</v>
      </c>
      <c r="J110" s="2"/>
      <c r="K110" s="2"/>
    </row>
    <row r="111" ht="15.0" customHeight="1">
      <c r="A111" s="49">
        <v>46037.0</v>
      </c>
      <c r="B111" s="2" t="s">
        <v>428</v>
      </c>
      <c r="C111" s="2" t="s">
        <v>26</v>
      </c>
      <c r="D111" s="2" t="s">
        <v>267</v>
      </c>
      <c r="E111" s="2" t="s">
        <v>429</v>
      </c>
      <c r="F111" s="2"/>
      <c r="G111" s="36">
        <v>-63.19</v>
      </c>
      <c r="H111" s="2"/>
      <c r="I111" s="2" t="s">
        <v>269</v>
      </c>
      <c r="J111" s="2"/>
      <c r="K111" s="2"/>
    </row>
    <row r="112" ht="15.0" customHeight="1">
      <c r="A112" s="49">
        <v>46037.0</v>
      </c>
      <c r="B112" s="2" t="s">
        <v>333</v>
      </c>
      <c r="C112" s="2" t="s">
        <v>158</v>
      </c>
      <c r="D112" s="2" t="s">
        <v>267</v>
      </c>
      <c r="E112" s="2" t="s">
        <v>430</v>
      </c>
      <c r="F112" s="2"/>
      <c r="G112" s="36">
        <v>-75.0</v>
      </c>
      <c r="H112" s="2"/>
      <c r="I112" s="2" t="s">
        <v>269</v>
      </c>
      <c r="J112" s="2"/>
      <c r="K112" s="2"/>
    </row>
    <row r="113" ht="15.0" customHeight="1">
      <c r="A113" s="49">
        <v>46037.0</v>
      </c>
      <c r="B113" s="2" t="s">
        <v>431</v>
      </c>
      <c r="C113" s="2" t="s">
        <v>289</v>
      </c>
      <c r="D113" s="2" t="s">
        <v>296</v>
      </c>
      <c r="E113" s="2" t="s">
        <v>432</v>
      </c>
      <c r="F113" s="2"/>
      <c r="G113" s="36">
        <v>5000.0</v>
      </c>
      <c r="H113" s="2"/>
      <c r="I113" s="2" t="s">
        <v>272</v>
      </c>
      <c r="J113" s="2"/>
      <c r="K113" s="2"/>
    </row>
    <row r="114" ht="15.0" customHeight="1">
      <c r="A114" s="49">
        <v>46037.0</v>
      </c>
      <c r="B114" s="2" t="s">
        <v>431</v>
      </c>
      <c r="C114" s="2" t="s">
        <v>289</v>
      </c>
      <c r="D114" s="2" t="s">
        <v>296</v>
      </c>
      <c r="E114" s="2" t="s">
        <v>432</v>
      </c>
      <c r="F114" s="2"/>
      <c r="G114" s="36">
        <v>500.0</v>
      </c>
      <c r="H114" s="2"/>
      <c r="I114" s="2" t="s">
        <v>272</v>
      </c>
      <c r="J114" s="2"/>
      <c r="K114" s="2"/>
    </row>
    <row r="115" ht="15.0" customHeight="1">
      <c r="A115" s="49">
        <v>46037.0</v>
      </c>
      <c r="B115" s="2" t="s">
        <v>305</v>
      </c>
      <c r="C115" s="2" t="s">
        <v>289</v>
      </c>
      <c r="D115" s="2" t="s">
        <v>296</v>
      </c>
      <c r="E115" s="2" t="s">
        <v>433</v>
      </c>
      <c r="F115" s="2"/>
      <c r="G115" s="36">
        <v>-5500.0</v>
      </c>
      <c r="H115" s="2"/>
      <c r="I115" s="2" t="s">
        <v>272</v>
      </c>
      <c r="J115" s="2"/>
      <c r="K115" s="2"/>
    </row>
    <row r="116" ht="15.0" customHeight="1">
      <c r="A116" s="49">
        <v>46037.0</v>
      </c>
      <c r="B116" s="2" t="s">
        <v>311</v>
      </c>
      <c r="C116" s="2" t="s">
        <v>289</v>
      </c>
      <c r="D116" s="2" t="s">
        <v>309</v>
      </c>
      <c r="E116" s="2" t="s">
        <v>434</v>
      </c>
      <c r="F116" s="2"/>
      <c r="G116" s="36">
        <v>5500.0</v>
      </c>
      <c r="H116" s="2"/>
      <c r="I116" s="2" t="s">
        <v>272</v>
      </c>
      <c r="J116" s="2"/>
      <c r="K116" s="2"/>
    </row>
    <row r="117" ht="15.0" customHeight="1">
      <c r="A117" s="49">
        <v>46037.0</v>
      </c>
      <c r="B117" s="2" t="s">
        <v>435</v>
      </c>
      <c r="C117" s="2" t="s">
        <v>289</v>
      </c>
      <c r="D117" s="2" t="s">
        <v>309</v>
      </c>
      <c r="E117" s="2" t="s">
        <v>436</v>
      </c>
      <c r="F117" s="2"/>
      <c r="G117" s="36">
        <v>-5000.0</v>
      </c>
      <c r="H117" s="2"/>
      <c r="I117" s="2" t="s">
        <v>272</v>
      </c>
      <c r="J117" s="2"/>
      <c r="K117" s="2"/>
    </row>
    <row r="118" ht="15.0" customHeight="1">
      <c r="A118" s="49">
        <v>46037.0</v>
      </c>
      <c r="B118" s="2" t="s">
        <v>435</v>
      </c>
      <c r="C118" s="2" t="s">
        <v>289</v>
      </c>
      <c r="D118" s="2" t="s">
        <v>309</v>
      </c>
      <c r="E118" s="2" t="s">
        <v>436</v>
      </c>
      <c r="F118" s="2"/>
      <c r="G118" s="36">
        <v>-500.0</v>
      </c>
      <c r="H118" s="2"/>
      <c r="I118" s="2" t="s">
        <v>272</v>
      </c>
      <c r="J118" s="2"/>
      <c r="K118" s="2"/>
    </row>
    <row r="119" ht="15.0" customHeight="1">
      <c r="A119" s="49">
        <v>46037.0</v>
      </c>
      <c r="B119" s="2" t="s">
        <v>301</v>
      </c>
      <c r="C119" s="2" t="s">
        <v>437</v>
      </c>
      <c r="D119" s="2" t="s">
        <v>296</v>
      </c>
      <c r="E119" s="2" t="s">
        <v>438</v>
      </c>
      <c r="F119" s="2"/>
      <c r="G119" s="36">
        <v>-2109.34</v>
      </c>
      <c r="H119" s="2"/>
      <c r="I119" s="2" t="s">
        <v>272</v>
      </c>
      <c r="J119" s="2"/>
      <c r="K119" s="2"/>
    </row>
    <row r="120" ht="15.0" customHeight="1">
      <c r="A120" s="49">
        <v>46037.0</v>
      </c>
      <c r="B120" s="2" t="s">
        <v>301</v>
      </c>
      <c r="C120" s="2" t="s">
        <v>437</v>
      </c>
      <c r="D120" s="2" t="s">
        <v>296</v>
      </c>
      <c r="E120" s="2" t="s">
        <v>438</v>
      </c>
      <c r="F120" s="2"/>
      <c r="G120" s="36">
        <v>-5189.65</v>
      </c>
      <c r="H120" s="2"/>
      <c r="I120" s="2" t="s">
        <v>272</v>
      </c>
      <c r="J120" s="2"/>
      <c r="K120" s="2"/>
    </row>
    <row r="121" ht="15.0" customHeight="1">
      <c r="A121" s="49">
        <v>46036.0</v>
      </c>
      <c r="B121" s="2" t="s">
        <v>164</v>
      </c>
      <c r="C121" s="2" t="s">
        <v>27</v>
      </c>
      <c r="D121" s="2" t="s">
        <v>273</v>
      </c>
      <c r="E121" s="2" t="s">
        <v>274</v>
      </c>
      <c r="F121" s="2"/>
      <c r="G121" s="36">
        <v>-7.61</v>
      </c>
      <c r="H121" s="2"/>
      <c r="I121" s="2" t="s">
        <v>272</v>
      </c>
      <c r="J121" s="2"/>
      <c r="K121" s="2"/>
    </row>
    <row r="122" ht="15.0" customHeight="1">
      <c r="A122" s="49">
        <v>46036.0</v>
      </c>
      <c r="B122" s="2" t="s">
        <v>171</v>
      </c>
      <c r="C122" s="2" t="s">
        <v>26</v>
      </c>
      <c r="D122" s="2" t="s">
        <v>270</v>
      </c>
      <c r="E122" s="2" t="s">
        <v>439</v>
      </c>
      <c r="F122" s="2"/>
      <c r="G122" s="36">
        <v>-39.76</v>
      </c>
      <c r="H122" s="2"/>
      <c r="I122" s="2" t="s">
        <v>272</v>
      </c>
      <c r="J122" s="2"/>
      <c r="K122" s="2"/>
    </row>
    <row r="123" ht="15.0" customHeight="1">
      <c r="A123" s="49">
        <v>46036.0</v>
      </c>
      <c r="B123" s="2" t="s">
        <v>440</v>
      </c>
      <c r="C123" s="2" t="s">
        <v>292</v>
      </c>
      <c r="D123" s="2" t="s">
        <v>270</v>
      </c>
      <c r="E123" s="2" t="s">
        <v>441</v>
      </c>
      <c r="F123" s="2"/>
      <c r="G123" s="36">
        <v>-3.2</v>
      </c>
      <c r="H123" s="2"/>
      <c r="I123" s="2" t="s">
        <v>272</v>
      </c>
      <c r="J123" s="2"/>
      <c r="K123" s="2"/>
    </row>
    <row r="124" ht="15.0" customHeight="1">
      <c r="A124" s="49">
        <v>46036.0</v>
      </c>
      <c r="B124" s="2" t="s">
        <v>321</v>
      </c>
      <c r="C124" s="2" t="s">
        <v>152</v>
      </c>
      <c r="D124" s="2" t="s">
        <v>270</v>
      </c>
      <c r="E124" s="2" t="s">
        <v>323</v>
      </c>
      <c r="F124" s="2"/>
      <c r="G124" s="36">
        <v>-49.81</v>
      </c>
      <c r="H124" s="2"/>
      <c r="I124" s="2" t="s">
        <v>272</v>
      </c>
      <c r="J124" s="2"/>
      <c r="K124" s="2"/>
    </row>
    <row r="125" ht="15.0" customHeight="1">
      <c r="A125" s="49">
        <v>46036.0</v>
      </c>
      <c r="B125" s="2" t="s">
        <v>442</v>
      </c>
      <c r="C125" s="2" t="s">
        <v>159</v>
      </c>
      <c r="D125" s="2" t="s">
        <v>267</v>
      </c>
      <c r="E125" s="2" t="s">
        <v>443</v>
      </c>
      <c r="F125" s="2"/>
      <c r="G125" s="36">
        <v>-140.0</v>
      </c>
      <c r="H125" s="2"/>
      <c r="I125" s="2" t="s">
        <v>269</v>
      </c>
      <c r="J125" s="2"/>
      <c r="K125" s="2"/>
    </row>
    <row r="126" ht="15.0" customHeight="1">
      <c r="A126" s="49">
        <v>46036.0</v>
      </c>
      <c r="B126" s="2" t="s">
        <v>367</v>
      </c>
      <c r="C126" s="2" t="s">
        <v>162</v>
      </c>
      <c r="D126" s="2" t="s">
        <v>267</v>
      </c>
      <c r="E126" s="2" t="s">
        <v>444</v>
      </c>
      <c r="F126" s="2"/>
      <c r="G126" s="36">
        <v>-5.45</v>
      </c>
      <c r="H126" s="2"/>
      <c r="I126" s="2" t="s">
        <v>269</v>
      </c>
      <c r="J126" s="2"/>
      <c r="K126" s="2"/>
    </row>
    <row r="127" ht="15.0" customHeight="1">
      <c r="A127" s="49">
        <v>46036.0</v>
      </c>
      <c r="B127" s="2" t="s">
        <v>445</v>
      </c>
      <c r="C127" s="2" t="s">
        <v>154</v>
      </c>
      <c r="D127" s="2" t="s">
        <v>270</v>
      </c>
      <c r="E127" s="2" t="s">
        <v>446</v>
      </c>
      <c r="F127" s="2"/>
      <c r="G127" s="36">
        <v>-269.1</v>
      </c>
      <c r="H127" s="2"/>
      <c r="I127" s="2" t="s">
        <v>272</v>
      </c>
      <c r="J127" s="2"/>
      <c r="K127" s="2"/>
    </row>
    <row r="128" ht="15.0" customHeight="1">
      <c r="A128" s="49">
        <v>46036.0</v>
      </c>
      <c r="B128" s="2" t="s">
        <v>447</v>
      </c>
      <c r="C128" s="2" t="s">
        <v>437</v>
      </c>
      <c r="D128" s="2" t="s">
        <v>270</v>
      </c>
      <c r="E128" s="2" t="s">
        <v>448</v>
      </c>
      <c r="F128" s="2"/>
      <c r="G128" s="36">
        <v>5189.65</v>
      </c>
      <c r="H128" s="2"/>
      <c r="I128" s="2" t="s">
        <v>272</v>
      </c>
      <c r="J128" s="2"/>
      <c r="K128" s="2"/>
    </row>
    <row r="129" ht="15.0" customHeight="1">
      <c r="A129" s="49">
        <v>46036.0</v>
      </c>
      <c r="B129" s="2" t="s">
        <v>447</v>
      </c>
      <c r="C129" s="2" t="s">
        <v>437</v>
      </c>
      <c r="D129" s="2" t="s">
        <v>273</v>
      </c>
      <c r="E129" s="2" t="s">
        <v>448</v>
      </c>
      <c r="F129" s="2"/>
      <c r="G129" s="36">
        <v>2109.34</v>
      </c>
      <c r="H129" s="2"/>
      <c r="I129" s="2" t="s">
        <v>272</v>
      </c>
      <c r="J129" s="2"/>
      <c r="K129" s="2"/>
    </row>
    <row r="130" ht="15.0" customHeight="1">
      <c r="A130" s="49">
        <v>46036.0</v>
      </c>
      <c r="B130" s="2" t="s">
        <v>425</v>
      </c>
      <c r="C130" s="2" t="s">
        <v>426</v>
      </c>
      <c r="D130" s="2" t="s">
        <v>277</v>
      </c>
      <c r="E130" s="2" t="s">
        <v>427</v>
      </c>
      <c r="F130" s="2"/>
      <c r="G130" s="36">
        <v>-51.5</v>
      </c>
      <c r="H130" s="2"/>
      <c r="I130" s="2" t="s">
        <v>269</v>
      </c>
      <c r="J130" s="2"/>
      <c r="K130" s="2"/>
    </row>
    <row r="131" ht="15.0" customHeight="1">
      <c r="A131" s="49">
        <v>46036.0</v>
      </c>
      <c r="B131" s="2" t="s">
        <v>449</v>
      </c>
      <c r="C131" s="2" t="s">
        <v>450</v>
      </c>
      <c r="D131" s="2" t="s">
        <v>277</v>
      </c>
      <c r="E131" s="2" t="s">
        <v>451</v>
      </c>
      <c r="F131" s="2"/>
      <c r="G131" s="36">
        <v>4.0</v>
      </c>
      <c r="H131" s="2"/>
      <c r="I131" s="2" t="s">
        <v>269</v>
      </c>
      <c r="J131" s="2"/>
      <c r="K131" s="2"/>
    </row>
    <row r="132" ht="15.0" customHeight="1">
      <c r="A132" s="49">
        <v>46035.0</v>
      </c>
      <c r="B132" s="2" t="s">
        <v>452</v>
      </c>
      <c r="C132" s="2" t="s">
        <v>28</v>
      </c>
      <c r="D132" s="2" t="s">
        <v>270</v>
      </c>
      <c r="E132" s="2" t="s">
        <v>453</v>
      </c>
      <c r="F132" s="2"/>
      <c r="G132" s="36">
        <v>-23.13</v>
      </c>
      <c r="H132" s="2"/>
      <c r="I132" s="2" t="s">
        <v>272</v>
      </c>
      <c r="J132" s="2"/>
      <c r="K132" s="2"/>
    </row>
    <row r="133" ht="15.0" customHeight="1">
      <c r="A133" s="49">
        <v>46035.0</v>
      </c>
      <c r="B133" s="2" t="s">
        <v>454</v>
      </c>
      <c r="C133" s="2" t="s">
        <v>455</v>
      </c>
      <c r="D133" s="2" t="s">
        <v>277</v>
      </c>
      <c r="E133" s="2" t="s">
        <v>456</v>
      </c>
      <c r="F133" s="2"/>
      <c r="G133" s="36">
        <v>-74.95</v>
      </c>
      <c r="H133" s="2"/>
      <c r="I133" s="2" t="s">
        <v>269</v>
      </c>
      <c r="J133" s="2"/>
      <c r="K133" s="2"/>
    </row>
    <row r="134" ht="15.0" customHeight="1">
      <c r="A134" s="49">
        <v>46035.0</v>
      </c>
      <c r="B134" s="2" t="s">
        <v>319</v>
      </c>
      <c r="C134" s="2" t="s">
        <v>28</v>
      </c>
      <c r="D134" s="2" t="s">
        <v>277</v>
      </c>
      <c r="E134" s="2" t="s">
        <v>457</v>
      </c>
      <c r="F134" s="2"/>
      <c r="G134" s="36">
        <v>-19.8</v>
      </c>
      <c r="H134" s="2"/>
      <c r="I134" s="2" t="s">
        <v>269</v>
      </c>
      <c r="J134" s="2"/>
      <c r="K134" s="2"/>
    </row>
    <row r="135" ht="15.0" customHeight="1">
      <c r="A135" s="49">
        <v>46035.0</v>
      </c>
      <c r="B135" s="2" t="s">
        <v>164</v>
      </c>
      <c r="C135" s="2" t="s">
        <v>27</v>
      </c>
      <c r="D135" s="2" t="s">
        <v>277</v>
      </c>
      <c r="E135" s="2" t="s">
        <v>364</v>
      </c>
      <c r="F135" s="2"/>
      <c r="G135" s="36">
        <v>-31.55</v>
      </c>
      <c r="H135" s="2"/>
      <c r="I135" s="2" t="s">
        <v>269</v>
      </c>
      <c r="J135" s="2"/>
      <c r="K135" s="2"/>
    </row>
    <row r="136" ht="15.0" customHeight="1">
      <c r="A136" s="49">
        <v>46035.0</v>
      </c>
      <c r="B136" s="2" t="s">
        <v>164</v>
      </c>
      <c r="C136" s="2" t="s">
        <v>27</v>
      </c>
      <c r="D136" s="2" t="s">
        <v>277</v>
      </c>
      <c r="E136" s="2" t="s">
        <v>274</v>
      </c>
      <c r="F136" s="2"/>
      <c r="G136" s="36">
        <v>-30.48</v>
      </c>
      <c r="H136" s="2"/>
      <c r="I136" s="2" t="s">
        <v>269</v>
      </c>
      <c r="J136" s="2"/>
      <c r="K136" s="2"/>
    </row>
    <row r="137" ht="15.0" customHeight="1">
      <c r="A137" s="49">
        <v>46035.0</v>
      </c>
      <c r="B137" s="2" t="s">
        <v>458</v>
      </c>
      <c r="C137" s="2" t="s">
        <v>455</v>
      </c>
      <c r="D137" s="2" t="s">
        <v>273</v>
      </c>
      <c r="E137" s="2" t="s">
        <v>459</v>
      </c>
      <c r="F137" s="2"/>
      <c r="G137" s="36">
        <v>-350.0</v>
      </c>
      <c r="H137" s="2"/>
      <c r="I137" s="2" t="s">
        <v>272</v>
      </c>
      <c r="J137" s="2"/>
      <c r="K137" s="2"/>
    </row>
    <row r="138" ht="15.0" customHeight="1">
      <c r="A138" s="49">
        <v>46035.0</v>
      </c>
      <c r="B138" s="2" t="s">
        <v>344</v>
      </c>
      <c r="C138" s="2" t="s">
        <v>153</v>
      </c>
      <c r="D138" s="2" t="s">
        <v>267</v>
      </c>
      <c r="E138" s="2" t="s">
        <v>460</v>
      </c>
      <c r="F138" s="2"/>
      <c r="G138" s="36">
        <v>-4.99</v>
      </c>
      <c r="H138" s="2"/>
      <c r="I138" s="2" t="s">
        <v>269</v>
      </c>
      <c r="J138" s="2"/>
      <c r="K138" s="2"/>
    </row>
    <row r="139" ht="15.0" customHeight="1">
      <c r="A139" s="49">
        <v>46035.0</v>
      </c>
      <c r="B139" s="2" t="s">
        <v>301</v>
      </c>
      <c r="C139" s="2" t="s">
        <v>289</v>
      </c>
      <c r="D139" s="2" t="s">
        <v>270</v>
      </c>
      <c r="E139" s="2" t="s">
        <v>302</v>
      </c>
      <c r="F139" s="2"/>
      <c r="G139" s="36">
        <v>-250.0</v>
      </c>
      <c r="H139" s="2"/>
      <c r="I139" s="2" t="s">
        <v>272</v>
      </c>
      <c r="J139" s="2"/>
      <c r="K139" s="2"/>
    </row>
    <row r="140" ht="15.0" customHeight="1">
      <c r="A140" s="49">
        <v>46035.0</v>
      </c>
      <c r="B140" s="2" t="s">
        <v>186</v>
      </c>
      <c r="C140" s="2" t="s">
        <v>289</v>
      </c>
      <c r="D140" s="2" t="s">
        <v>296</v>
      </c>
      <c r="E140" s="2" t="s">
        <v>461</v>
      </c>
      <c r="F140" s="2"/>
      <c r="G140" s="36">
        <v>-5.0</v>
      </c>
      <c r="H140" s="2"/>
      <c r="I140" s="2" t="s">
        <v>272</v>
      </c>
      <c r="J140" s="2"/>
      <c r="K140" s="2"/>
    </row>
    <row r="141" ht="15.0" customHeight="1">
      <c r="A141" s="49">
        <v>46034.0</v>
      </c>
      <c r="B141" s="2" t="s">
        <v>462</v>
      </c>
      <c r="C141" s="2" t="s">
        <v>27</v>
      </c>
      <c r="D141" s="2" t="s">
        <v>277</v>
      </c>
      <c r="E141" s="2" t="s">
        <v>463</v>
      </c>
      <c r="F141" s="2"/>
      <c r="G141" s="36">
        <v>-392.35</v>
      </c>
      <c r="H141" s="2"/>
      <c r="I141" s="2" t="s">
        <v>269</v>
      </c>
      <c r="J141" s="2"/>
      <c r="K141" s="2"/>
    </row>
    <row r="142" ht="15.0" customHeight="1">
      <c r="A142" s="49">
        <v>46034.0</v>
      </c>
      <c r="B142" s="2" t="s">
        <v>164</v>
      </c>
      <c r="C142" s="2" t="s">
        <v>27</v>
      </c>
      <c r="D142" s="2" t="s">
        <v>273</v>
      </c>
      <c r="E142" s="2" t="s">
        <v>274</v>
      </c>
      <c r="F142" s="2"/>
      <c r="G142" s="36">
        <v>-57.49</v>
      </c>
      <c r="H142" s="2"/>
      <c r="I142" s="2" t="s">
        <v>272</v>
      </c>
      <c r="J142" s="2"/>
      <c r="K142" s="2"/>
    </row>
    <row r="143" ht="41.25" customHeight="1">
      <c r="A143" s="49">
        <v>46034.0</v>
      </c>
      <c r="B143" s="2" t="s">
        <v>166</v>
      </c>
      <c r="C143" s="2" t="s">
        <v>161</v>
      </c>
      <c r="D143" s="2" t="s">
        <v>270</v>
      </c>
      <c r="E143" s="2" t="s">
        <v>374</v>
      </c>
      <c r="F143" s="52" t="s">
        <v>464</v>
      </c>
      <c r="G143" s="36">
        <v>-14.17</v>
      </c>
      <c r="H143" s="52" t="s">
        <v>465</v>
      </c>
      <c r="I143" s="52" t="s">
        <v>272</v>
      </c>
      <c r="J143" s="2"/>
      <c r="K143" s="2"/>
    </row>
    <row r="144" ht="15.0" customHeight="1">
      <c r="A144" s="49">
        <v>46034.0</v>
      </c>
      <c r="B144" s="52" t="s">
        <v>166</v>
      </c>
      <c r="C144" s="52" t="s">
        <v>28</v>
      </c>
      <c r="D144" s="52" t="s">
        <v>270</v>
      </c>
      <c r="E144" s="52" t="s">
        <v>374</v>
      </c>
      <c r="F144" s="52" t="s">
        <v>466</v>
      </c>
      <c r="G144" s="36">
        <v>-8.4</v>
      </c>
      <c r="H144" s="52" t="s">
        <v>465</v>
      </c>
      <c r="I144" s="52" t="s">
        <v>272</v>
      </c>
      <c r="J144" s="2"/>
      <c r="K144" s="2"/>
    </row>
    <row r="145" ht="15.0" customHeight="1">
      <c r="A145" s="49">
        <v>46034.0</v>
      </c>
      <c r="B145" s="52" t="s">
        <v>166</v>
      </c>
      <c r="C145" s="52" t="s">
        <v>154</v>
      </c>
      <c r="D145" s="52" t="s">
        <v>270</v>
      </c>
      <c r="E145" s="52" t="s">
        <v>374</v>
      </c>
      <c r="F145" s="52" t="s">
        <v>467</v>
      </c>
      <c r="G145" s="36">
        <v>-4.19</v>
      </c>
      <c r="H145" s="52" t="s">
        <v>465</v>
      </c>
      <c r="I145" s="52" t="s">
        <v>272</v>
      </c>
      <c r="J145" s="2"/>
      <c r="K145" s="2"/>
    </row>
    <row r="146" ht="498.0" customHeight="1">
      <c r="A146" s="49">
        <v>46034.0</v>
      </c>
      <c r="B146" s="52" t="s">
        <v>166</v>
      </c>
      <c r="C146" s="52" t="s">
        <v>26</v>
      </c>
      <c r="D146" s="52" t="s">
        <v>270</v>
      </c>
      <c r="E146" s="52" t="s">
        <v>374</v>
      </c>
      <c r="F146" s="52" t="s">
        <v>468</v>
      </c>
      <c r="G146" s="36">
        <v>-120.21</v>
      </c>
      <c r="H146" s="52" t="s">
        <v>465</v>
      </c>
      <c r="I146" s="52" t="s">
        <v>272</v>
      </c>
      <c r="J146" s="2"/>
      <c r="K146" s="2"/>
    </row>
    <row r="147" ht="15.0" customHeight="1">
      <c r="A147" s="49">
        <v>46034.0</v>
      </c>
      <c r="B147" s="52" t="s">
        <v>166</v>
      </c>
      <c r="C147" s="52" t="s">
        <v>469</v>
      </c>
      <c r="D147" s="52" t="s">
        <v>270</v>
      </c>
      <c r="E147" s="52" t="s">
        <v>374</v>
      </c>
      <c r="F147" s="52" t="s">
        <v>470</v>
      </c>
      <c r="G147" s="36">
        <v>-5.26</v>
      </c>
      <c r="H147" s="52" t="s">
        <v>465</v>
      </c>
      <c r="I147" s="52" t="s">
        <v>272</v>
      </c>
      <c r="J147" s="2"/>
      <c r="K147" s="2"/>
    </row>
    <row r="148" ht="15.0" customHeight="1">
      <c r="A148" s="49">
        <v>46034.0</v>
      </c>
      <c r="B148" s="52" t="s">
        <v>164</v>
      </c>
      <c r="C148" s="52" t="s">
        <v>387</v>
      </c>
      <c r="D148" s="52" t="s">
        <v>270</v>
      </c>
      <c r="E148" s="52" t="s">
        <v>471</v>
      </c>
      <c r="F148" s="2"/>
      <c r="G148" s="36">
        <v>-2.99</v>
      </c>
      <c r="H148" s="2"/>
      <c r="I148" s="52" t="s">
        <v>272</v>
      </c>
      <c r="J148" s="2"/>
      <c r="K148" s="2"/>
    </row>
    <row r="149" ht="15.0" customHeight="1">
      <c r="A149" s="49">
        <v>46034.0</v>
      </c>
      <c r="B149" s="52" t="s">
        <v>381</v>
      </c>
      <c r="C149" s="52" t="s">
        <v>156</v>
      </c>
      <c r="D149" s="52" t="s">
        <v>277</v>
      </c>
      <c r="E149" s="52" t="s">
        <v>382</v>
      </c>
      <c r="F149" s="2"/>
      <c r="G149" s="36">
        <v>-29.4</v>
      </c>
      <c r="H149" s="2"/>
      <c r="I149" s="52" t="s">
        <v>269</v>
      </c>
      <c r="J149" s="2"/>
      <c r="K149" s="2"/>
    </row>
    <row r="150" ht="15.0" customHeight="1">
      <c r="A150" s="49">
        <v>46034.0</v>
      </c>
      <c r="B150" s="52" t="s">
        <v>381</v>
      </c>
      <c r="C150" s="52" t="s">
        <v>156</v>
      </c>
      <c r="D150" s="52" t="s">
        <v>277</v>
      </c>
      <c r="E150" s="52" t="s">
        <v>382</v>
      </c>
      <c r="F150" s="2"/>
      <c r="G150" s="36">
        <v>-16.99</v>
      </c>
      <c r="H150" s="2"/>
      <c r="I150" s="52" t="s">
        <v>269</v>
      </c>
      <c r="J150" s="2"/>
      <c r="K150" s="2"/>
    </row>
    <row r="151" ht="15.0" customHeight="1">
      <c r="A151" s="49">
        <v>46034.0</v>
      </c>
      <c r="B151" s="52" t="s">
        <v>472</v>
      </c>
      <c r="C151" s="52" t="s">
        <v>27</v>
      </c>
      <c r="D151" s="52" t="s">
        <v>277</v>
      </c>
      <c r="E151" s="52" t="s">
        <v>473</v>
      </c>
      <c r="F151" s="2"/>
      <c r="G151" s="36">
        <v>-15.0</v>
      </c>
      <c r="H151" s="2"/>
      <c r="I151" s="52" t="s">
        <v>269</v>
      </c>
      <c r="J151" s="2"/>
      <c r="K151" s="2"/>
    </row>
    <row r="152" ht="15.0" customHeight="1">
      <c r="A152" s="49">
        <v>46034.0</v>
      </c>
      <c r="B152" s="52" t="s">
        <v>474</v>
      </c>
      <c r="C152" s="52" t="s">
        <v>475</v>
      </c>
      <c r="D152" s="52" t="s">
        <v>296</v>
      </c>
      <c r="E152" s="52" t="s">
        <v>476</v>
      </c>
      <c r="F152" s="2"/>
      <c r="G152" s="36">
        <v>-20.0</v>
      </c>
      <c r="H152" s="2"/>
      <c r="I152" s="52" t="s">
        <v>272</v>
      </c>
      <c r="J152" s="2"/>
      <c r="K152" s="2"/>
    </row>
    <row r="153" ht="15.0" customHeight="1">
      <c r="A153" s="49">
        <v>46034.0</v>
      </c>
      <c r="B153" s="52" t="s">
        <v>477</v>
      </c>
      <c r="C153" s="52" t="s">
        <v>289</v>
      </c>
      <c r="D153" s="52" t="s">
        <v>267</v>
      </c>
      <c r="E153" s="52" t="s">
        <v>478</v>
      </c>
      <c r="F153" s="2"/>
      <c r="G153" s="36">
        <v>-36.0</v>
      </c>
      <c r="H153" s="2"/>
      <c r="I153" s="52" t="s">
        <v>269</v>
      </c>
      <c r="J153" s="2"/>
      <c r="K153" s="2"/>
    </row>
    <row r="154" ht="15.0" customHeight="1">
      <c r="A154" s="49">
        <v>46034.0</v>
      </c>
      <c r="B154" s="52" t="s">
        <v>479</v>
      </c>
      <c r="C154" s="52" t="s">
        <v>370</v>
      </c>
      <c r="D154" s="52" t="s">
        <v>267</v>
      </c>
      <c r="E154" s="52" t="s">
        <v>480</v>
      </c>
      <c r="F154" s="2"/>
      <c r="G154" s="36">
        <v>-3.58</v>
      </c>
      <c r="H154" s="2"/>
      <c r="I154" s="52" t="s">
        <v>269</v>
      </c>
      <c r="J154" s="2"/>
      <c r="K154" s="2"/>
    </row>
    <row r="155" ht="15.0" customHeight="1">
      <c r="A155" s="49">
        <v>46034.0</v>
      </c>
      <c r="B155" s="52" t="s">
        <v>481</v>
      </c>
      <c r="C155" s="52" t="s">
        <v>27</v>
      </c>
      <c r="D155" s="52" t="s">
        <v>267</v>
      </c>
      <c r="E155" s="52" t="s">
        <v>482</v>
      </c>
      <c r="F155" s="2"/>
      <c r="G155" s="36">
        <v>-55.03</v>
      </c>
      <c r="H155" s="2"/>
      <c r="I155" s="52" t="s">
        <v>269</v>
      </c>
      <c r="J155" s="2"/>
      <c r="K155" s="2"/>
    </row>
    <row r="156" ht="15.0" customHeight="1">
      <c r="A156" s="49">
        <v>46034.0</v>
      </c>
      <c r="B156" s="52" t="s">
        <v>483</v>
      </c>
      <c r="C156" s="52" t="s">
        <v>370</v>
      </c>
      <c r="D156" s="52" t="s">
        <v>267</v>
      </c>
      <c r="E156" s="52" t="s">
        <v>484</v>
      </c>
      <c r="F156" s="2"/>
      <c r="G156" s="36">
        <v>-325.59</v>
      </c>
      <c r="H156" s="2"/>
      <c r="I156" s="52" t="s">
        <v>269</v>
      </c>
      <c r="J156" s="2"/>
      <c r="K156" s="2"/>
    </row>
    <row r="157" ht="15.0" customHeight="1">
      <c r="A157" s="49">
        <v>46034.0</v>
      </c>
      <c r="B157" s="52" t="s">
        <v>477</v>
      </c>
      <c r="C157" s="52" t="s">
        <v>289</v>
      </c>
      <c r="D157" s="52" t="s">
        <v>267</v>
      </c>
      <c r="E157" s="52" t="s">
        <v>485</v>
      </c>
      <c r="F157" s="2"/>
      <c r="G157" s="36">
        <v>562.5</v>
      </c>
      <c r="H157" s="2"/>
      <c r="I157" s="52" t="s">
        <v>269</v>
      </c>
      <c r="J157" s="2"/>
      <c r="K157" s="2"/>
    </row>
    <row r="158" ht="15.0" customHeight="1">
      <c r="A158" s="49">
        <v>46033.0</v>
      </c>
      <c r="B158" s="52" t="s">
        <v>166</v>
      </c>
      <c r="C158" s="52" t="s">
        <v>26</v>
      </c>
      <c r="D158" s="52" t="s">
        <v>270</v>
      </c>
      <c r="E158" s="52" t="s">
        <v>374</v>
      </c>
      <c r="F158" s="2"/>
      <c r="G158" s="36">
        <v>-32.18</v>
      </c>
      <c r="H158" s="2"/>
      <c r="I158" s="52" t="s">
        <v>272</v>
      </c>
      <c r="J158" s="2"/>
      <c r="K158" s="2"/>
    </row>
    <row r="159" ht="15.0" customHeight="1">
      <c r="A159" s="49">
        <v>46033.0</v>
      </c>
      <c r="B159" s="52" t="s">
        <v>164</v>
      </c>
      <c r="C159" s="52" t="s">
        <v>27</v>
      </c>
      <c r="D159" s="52" t="s">
        <v>277</v>
      </c>
      <c r="E159" s="52" t="s">
        <v>364</v>
      </c>
      <c r="F159" s="2"/>
      <c r="G159" s="36">
        <v>-21.73</v>
      </c>
      <c r="H159" s="2"/>
      <c r="I159" s="52" t="s">
        <v>269</v>
      </c>
      <c r="J159" s="2"/>
      <c r="K159" s="2"/>
    </row>
    <row r="160" ht="15.0" customHeight="1">
      <c r="A160" s="49">
        <v>46033.0</v>
      </c>
      <c r="B160" s="52" t="s">
        <v>164</v>
      </c>
      <c r="C160" s="52" t="s">
        <v>27</v>
      </c>
      <c r="D160" s="52" t="s">
        <v>277</v>
      </c>
      <c r="E160" s="52" t="s">
        <v>274</v>
      </c>
      <c r="F160" s="2"/>
      <c r="G160" s="36">
        <v>-34.25</v>
      </c>
      <c r="H160" s="2"/>
      <c r="I160" s="52" t="s">
        <v>269</v>
      </c>
      <c r="J160" s="2"/>
      <c r="K160" s="2"/>
    </row>
    <row r="161" ht="15.0" customHeight="1">
      <c r="A161" s="49">
        <v>46033.0</v>
      </c>
      <c r="B161" s="52" t="s">
        <v>164</v>
      </c>
      <c r="C161" s="52" t="s">
        <v>27</v>
      </c>
      <c r="D161" s="52" t="s">
        <v>277</v>
      </c>
      <c r="E161" s="52" t="s">
        <v>274</v>
      </c>
      <c r="F161" s="2"/>
      <c r="G161" s="36">
        <v>-9.43</v>
      </c>
      <c r="H161" s="2"/>
      <c r="I161" s="52" t="s">
        <v>269</v>
      </c>
      <c r="J161" s="2"/>
      <c r="K161" s="2"/>
    </row>
    <row r="162" ht="15.0" customHeight="1">
      <c r="A162" s="49">
        <v>46033.0</v>
      </c>
      <c r="B162" s="52" t="s">
        <v>486</v>
      </c>
      <c r="C162" s="52" t="s">
        <v>157</v>
      </c>
      <c r="D162" s="52" t="s">
        <v>277</v>
      </c>
      <c r="E162" s="52" t="s">
        <v>487</v>
      </c>
      <c r="F162" s="2"/>
      <c r="G162" s="36">
        <v>-622.0</v>
      </c>
      <c r="H162" s="2"/>
      <c r="I162" s="52" t="s">
        <v>269</v>
      </c>
      <c r="J162" s="2"/>
      <c r="K162" s="2"/>
    </row>
    <row r="163" ht="15.0" customHeight="1">
      <c r="A163" s="49">
        <v>46033.0</v>
      </c>
      <c r="B163" s="52" t="s">
        <v>165</v>
      </c>
      <c r="C163" s="52" t="s">
        <v>28</v>
      </c>
      <c r="D163" s="52" t="s">
        <v>277</v>
      </c>
      <c r="E163" s="52" t="s">
        <v>313</v>
      </c>
      <c r="F163" s="2"/>
      <c r="G163" s="36">
        <v>-81.57</v>
      </c>
      <c r="H163" s="2"/>
      <c r="I163" s="52" t="s">
        <v>269</v>
      </c>
      <c r="J163" s="2"/>
      <c r="K163" s="2"/>
    </row>
    <row r="164" ht="15.0" customHeight="1">
      <c r="A164" s="49">
        <v>46032.0</v>
      </c>
      <c r="B164" s="52" t="s">
        <v>283</v>
      </c>
      <c r="C164" s="52" t="s">
        <v>154</v>
      </c>
      <c r="D164" s="52" t="s">
        <v>277</v>
      </c>
      <c r="E164" s="52" t="s">
        <v>298</v>
      </c>
      <c r="F164" s="2"/>
      <c r="G164" s="36">
        <v>-9.73</v>
      </c>
      <c r="H164" s="2"/>
      <c r="I164" s="52" t="s">
        <v>269</v>
      </c>
      <c r="J164" s="2"/>
      <c r="K164" s="2"/>
    </row>
    <row r="165" ht="15.0" customHeight="1">
      <c r="A165" s="49">
        <v>46032.0</v>
      </c>
      <c r="B165" s="52" t="s">
        <v>164</v>
      </c>
      <c r="C165" s="52" t="s">
        <v>27</v>
      </c>
      <c r="D165" s="52" t="s">
        <v>277</v>
      </c>
      <c r="E165" s="52" t="s">
        <v>364</v>
      </c>
      <c r="F165" s="2"/>
      <c r="G165" s="36">
        <v>-34.3</v>
      </c>
      <c r="H165" s="2"/>
      <c r="I165" s="52" t="s">
        <v>269</v>
      </c>
      <c r="J165" s="2"/>
      <c r="K165" s="2"/>
    </row>
    <row r="166" ht="15.0" customHeight="1">
      <c r="A166" s="49">
        <v>46032.0</v>
      </c>
      <c r="B166" s="52" t="s">
        <v>164</v>
      </c>
      <c r="C166" s="52" t="s">
        <v>27</v>
      </c>
      <c r="D166" s="52" t="s">
        <v>277</v>
      </c>
      <c r="E166" s="52" t="s">
        <v>274</v>
      </c>
      <c r="F166" s="2"/>
      <c r="G166" s="36">
        <v>-21.77</v>
      </c>
      <c r="H166" s="2"/>
      <c r="I166" s="52" t="s">
        <v>269</v>
      </c>
      <c r="J166" s="2"/>
      <c r="K166" s="2"/>
    </row>
    <row r="167" ht="15.0" customHeight="1">
      <c r="A167" s="49">
        <v>46032.0</v>
      </c>
      <c r="B167" s="52" t="s">
        <v>166</v>
      </c>
      <c r="C167" s="52" t="s">
        <v>26</v>
      </c>
      <c r="D167" s="52" t="s">
        <v>270</v>
      </c>
      <c r="E167" s="52" t="s">
        <v>374</v>
      </c>
      <c r="F167" s="2"/>
      <c r="G167" s="36">
        <v>-97.52</v>
      </c>
      <c r="H167" s="2"/>
      <c r="I167" s="52" t="s">
        <v>272</v>
      </c>
      <c r="J167" s="2"/>
      <c r="K167" s="2"/>
    </row>
    <row r="168" ht="15.0" customHeight="1">
      <c r="A168" s="49">
        <v>46032.0</v>
      </c>
      <c r="B168" s="52" t="s">
        <v>488</v>
      </c>
      <c r="C168" s="52" t="s">
        <v>455</v>
      </c>
      <c r="D168" s="52" t="s">
        <v>296</v>
      </c>
      <c r="E168" s="52" t="s">
        <v>489</v>
      </c>
      <c r="F168" s="2"/>
      <c r="G168" s="36">
        <v>-300.0</v>
      </c>
      <c r="H168" s="2"/>
      <c r="I168" s="52" t="s">
        <v>272</v>
      </c>
      <c r="J168" s="2"/>
      <c r="K168" s="2"/>
    </row>
    <row r="169" ht="15.0" customHeight="1">
      <c r="A169" s="49">
        <v>46031.0</v>
      </c>
      <c r="B169" s="52" t="s">
        <v>164</v>
      </c>
      <c r="C169" s="52" t="s">
        <v>27</v>
      </c>
      <c r="D169" s="52" t="s">
        <v>277</v>
      </c>
      <c r="E169" s="52" t="s">
        <v>364</v>
      </c>
      <c r="F169" s="2"/>
      <c r="G169" s="36">
        <v>-28.74</v>
      </c>
      <c r="H169" s="2"/>
      <c r="I169" s="52" t="s">
        <v>269</v>
      </c>
      <c r="J169" s="2"/>
      <c r="K169" s="2"/>
    </row>
    <row r="170" ht="15.0" customHeight="1">
      <c r="A170" s="49">
        <v>46031.0</v>
      </c>
      <c r="B170" s="52" t="s">
        <v>164</v>
      </c>
      <c r="C170" s="52" t="s">
        <v>27</v>
      </c>
      <c r="D170" s="52" t="s">
        <v>277</v>
      </c>
      <c r="E170" s="52" t="s">
        <v>364</v>
      </c>
      <c r="F170" s="2"/>
      <c r="G170" s="36">
        <v>-19.0</v>
      </c>
      <c r="H170" s="2"/>
      <c r="I170" s="52" t="s">
        <v>269</v>
      </c>
      <c r="J170" s="2"/>
      <c r="K170" s="2"/>
    </row>
    <row r="171" ht="15.0" customHeight="1">
      <c r="A171" s="49">
        <v>46031.0</v>
      </c>
      <c r="B171" s="52" t="s">
        <v>164</v>
      </c>
      <c r="C171" s="52" t="s">
        <v>27</v>
      </c>
      <c r="D171" s="52" t="s">
        <v>277</v>
      </c>
      <c r="E171" s="52" t="s">
        <v>274</v>
      </c>
      <c r="F171" s="2"/>
      <c r="G171" s="36">
        <v>-14.69</v>
      </c>
      <c r="H171" s="2"/>
      <c r="I171" s="52" t="s">
        <v>269</v>
      </c>
      <c r="J171" s="2"/>
      <c r="K171" s="2"/>
    </row>
    <row r="172" ht="15.0" customHeight="1">
      <c r="A172" s="49">
        <v>46031.0</v>
      </c>
      <c r="B172" s="52" t="s">
        <v>165</v>
      </c>
      <c r="C172" s="52" t="s">
        <v>28</v>
      </c>
      <c r="D172" s="52" t="s">
        <v>277</v>
      </c>
      <c r="E172" s="52" t="s">
        <v>313</v>
      </c>
      <c r="F172" s="2"/>
      <c r="G172" s="36">
        <v>-53.5</v>
      </c>
      <c r="H172" s="2"/>
      <c r="I172" s="52" t="s">
        <v>269</v>
      </c>
      <c r="J172" s="2"/>
      <c r="K172" s="2"/>
    </row>
    <row r="173" ht="15.0" customHeight="1">
      <c r="A173" s="49">
        <v>46031.0</v>
      </c>
      <c r="B173" s="52" t="s">
        <v>333</v>
      </c>
      <c r="C173" s="52" t="s">
        <v>158</v>
      </c>
      <c r="D173" s="52" t="s">
        <v>267</v>
      </c>
      <c r="E173" s="52" t="s">
        <v>490</v>
      </c>
      <c r="F173" s="2"/>
      <c r="G173" s="36">
        <v>-75.0</v>
      </c>
      <c r="H173" s="2"/>
      <c r="I173" s="52" t="s">
        <v>269</v>
      </c>
      <c r="J173" s="2"/>
      <c r="K173" s="2"/>
    </row>
    <row r="174" ht="15.0" customHeight="1">
      <c r="A174" s="49">
        <v>46031.0</v>
      </c>
      <c r="B174" s="52" t="s">
        <v>491</v>
      </c>
      <c r="C174" s="52" t="s">
        <v>349</v>
      </c>
      <c r="D174" s="52" t="s">
        <v>270</v>
      </c>
      <c r="E174" s="52" t="s">
        <v>492</v>
      </c>
      <c r="F174" s="2"/>
      <c r="G174" s="36">
        <v>-111.58</v>
      </c>
      <c r="H174" s="2"/>
      <c r="I174" s="52" t="s">
        <v>272</v>
      </c>
      <c r="J174" s="2"/>
      <c r="K174" s="2"/>
    </row>
    <row r="175" ht="15.0" customHeight="1">
      <c r="A175" s="49">
        <v>46031.0</v>
      </c>
      <c r="B175" s="52" t="s">
        <v>493</v>
      </c>
      <c r="C175" s="52" t="s">
        <v>455</v>
      </c>
      <c r="D175" s="52" t="s">
        <v>270</v>
      </c>
      <c r="E175" s="52" t="s">
        <v>494</v>
      </c>
      <c r="F175" s="2"/>
      <c r="G175" s="36">
        <v>-14.44</v>
      </c>
      <c r="H175" s="2"/>
      <c r="I175" s="52" t="s">
        <v>272</v>
      </c>
      <c r="J175" s="2"/>
      <c r="K175" s="2"/>
    </row>
    <row r="176" ht="15.0" customHeight="1">
      <c r="A176" s="49">
        <v>46030.0</v>
      </c>
      <c r="B176" s="52" t="s">
        <v>171</v>
      </c>
      <c r="C176" s="52" t="s">
        <v>152</v>
      </c>
      <c r="D176" s="52" t="s">
        <v>277</v>
      </c>
      <c r="E176" s="52" t="s">
        <v>495</v>
      </c>
      <c r="F176" s="2"/>
      <c r="G176" s="36">
        <v>-47.85</v>
      </c>
      <c r="H176" s="2"/>
      <c r="I176" s="52" t="s">
        <v>269</v>
      </c>
      <c r="J176" s="2"/>
      <c r="K176" s="2"/>
    </row>
    <row r="177" ht="15.0" customHeight="1">
      <c r="A177" s="49">
        <v>46030.0</v>
      </c>
      <c r="B177" s="52" t="s">
        <v>496</v>
      </c>
      <c r="C177" s="52" t="s">
        <v>28</v>
      </c>
      <c r="D177" s="52" t="s">
        <v>270</v>
      </c>
      <c r="E177" s="52" t="s">
        <v>497</v>
      </c>
      <c r="F177" s="2"/>
      <c r="G177" s="36">
        <v>-22.36</v>
      </c>
      <c r="H177" s="2"/>
      <c r="I177" s="52" t="s">
        <v>272</v>
      </c>
      <c r="J177" s="2"/>
      <c r="K177" s="2"/>
    </row>
    <row r="178" ht="15.0" customHeight="1">
      <c r="A178" s="49">
        <v>46030.0</v>
      </c>
      <c r="B178" s="52" t="s">
        <v>166</v>
      </c>
      <c r="C178" s="52" t="s">
        <v>26</v>
      </c>
      <c r="D178" s="52" t="s">
        <v>270</v>
      </c>
      <c r="E178" s="52" t="s">
        <v>374</v>
      </c>
      <c r="F178" s="2"/>
      <c r="G178" s="36">
        <v>-89.1</v>
      </c>
      <c r="H178" s="2"/>
      <c r="I178" s="52" t="s">
        <v>272</v>
      </c>
      <c r="J178" s="2"/>
      <c r="K178" s="2"/>
    </row>
    <row r="179" ht="15.0" customHeight="1">
      <c r="A179" s="49">
        <v>46030.0</v>
      </c>
      <c r="B179" s="52" t="s">
        <v>164</v>
      </c>
      <c r="C179" s="52" t="s">
        <v>27</v>
      </c>
      <c r="D179" s="52" t="s">
        <v>273</v>
      </c>
      <c r="E179" s="52" t="s">
        <v>364</v>
      </c>
      <c r="F179" s="2"/>
      <c r="G179" s="36">
        <v>-32.64</v>
      </c>
      <c r="H179" s="2"/>
      <c r="I179" s="52" t="s">
        <v>272</v>
      </c>
      <c r="J179" s="2"/>
      <c r="K179" s="2"/>
    </row>
    <row r="180" ht="15.0" customHeight="1">
      <c r="A180" s="49">
        <v>46029.0</v>
      </c>
      <c r="B180" s="52" t="s">
        <v>164</v>
      </c>
      <c r="C180" s="52" t="s">
        <v>27</v>
      </c>
      <c r="D180" s="52" t="s">
        <v>277</v>
      </c>
      <c r="E180" s="52" t="s">
        <v>498</v>
      </c>
      <c r="F180" s="2"/>
      <c r="G180" s="36">
        <v>-11.99</v>
      </c>
      <c r="H180" s="2"/>
      <c r="I180" s="52" t="s">
        <v>269</v>
      </c>
      <c r="J180" s="2"/>
      <c r="K180" s="2"/>
    </row>
    <row r="181" ht="15.0" customHeight="1">
      <c r="A181" s="49">
        <v>46029.0</v>
      </c>
      <c r="B181" s="52" t="s">
        <v>333</v>
      </c>
      <c r="C181" s="52" t="s">
        <v>158</v>
      </c>
      <c r="D181" s="52" t="s">
        <v>267</v>
      </c>
      <c r="E181" s="52" t="s">
        <v>499</v>
      </c>
      <c r="F181" s="2"/>
      <c r="G181" s="36">
        <v>-475.0</v>
      </c>
      <c r="H181" s="2"/>
      <c r="I181" s="52" t="s">
        <v>269</v>
      </c>
      <c r="J181" s="2"/>
      <c r="K181" s="2"/>
    </row>
    <row r="182" ht="15.0" customHeight="1">
      <c r="A182" s="49">
        <v>46029.0</v>
      </c>
      <c r="B182" s="52" t="s">
        <v>428</v>
      </c>
      <c r="C182" s="52" t="s">
        <v>26</v>
      </c>
      <c r="D182" s="52" t="s">
        <v>267</v>
      </c>
      <c r="E182" s="52" t="s">
        <v>500</v>
      </c>
      <c r="F182" s="2"/>
      <c r="G182" s="36">
        <v>-87.01</v>
      </c>
      <c r="H182" s="2"/>
      <c r="I182" s="52" t="s">
        <v>269</v>
      </c>
      <c r="J182" s="2"/>
      <c r="K182" s="2"/>
    </row>
    <row r="183" ht="15.0" customHeight="1">
      <c r="A183" s="49">
        <v>46029.0</v>
      </c>
      <c r="B183" s="52" t="s">
        <v>501</v>
      </c>
      <c r="C183" s="52" t="s">
        <v>502</v>
      </c>
      <c r="D183" s="52" t="s">
        <v>267</v>
      </c>
      <c r="E183" s="52" t="s">
        <v>503</v>
      </c>
      <c r="F183" s="2"/>
      <c r="G183" s="36">
        <v>-25.98</v>
      </c>
      <c r="H183" s="2"/>
      <c r="I183" s="52" t="s">
        <v>269</v>
      </c>
      <c r="J183" s="2"/>
      <c r="K183" s="2"/>
    </row>
    <row r="184" ht="15.0" customHeight="1">
      <c r="A184" s="49">
        <v>46029.0</v>
      </c>
      <c r="B184" s="52" t="s">
        <v>504</v>
      </c>
      <c r="C184" s="52" t="s">
        <v>153</v>
      </c>
      <c r="D184" s="52" t="s">
        <v>267</v>
      </c>
      <c r="E184" s="52" t="s">
        <v>505</v>
      </c>
      <c r="F184" s="2"/>
      <c r="G184" s="36">
        <v>-50.95</v>
      </c>
      <c r="H184" s="2"/>
      <c r="I184" s="52" t="s">
        <v>269</v>
      </c>
      <c r="J184" s="2"/>
      <c r="K184" s="2"/>
    </row>
    <row r="185" ht="15.0" customHeight="1">
      <c r="A185" s="49">
        <v>46029.0</v>
      </c>
      <c r="B185" s="52" t="s">
        <v>506</v>
      </c>
      <c r="C185" s="52" t="s">
        <v>502</v>
      </c>
      <c r="D185" s="52" t="s">
        <v>267</v>
      </c>
      <c r="E185" s="52" t="s">
        <v>507</v>
      </c>
      <c r="F185" s="2"/>
      <c r="G185" s="36">
        <v>-17.99</v>
      </c>
      <c r="H185" s="2"/>
      <c r="I185" s="52" t="s">
        <v>269</v>
      </c>
      <c r="J185" s="2"/>
      <c r="K185" s="2"/>
    </row>
    <row r="186" ht="15.0" customHeight="1">
      <c r="A186" s="49">
        <v>46029.0</v>
      </c>
      <c r="B186" s="52" t="s">
        <v>501</v>
      </c>
      <c r="C186" s="52" t="s">
        <v>502</v>
      </c>
      <c r="D186" s="52" t="s">
        <v>267</v>
      </c>
      <c r="E186" s="52" t="s">
        <v>508</v>
      </c>
      <c r="F186" s="2"/>
      <c r="G186" s="36">
        <v>-35.74</v>
      </c>
      <c r="H186" s="2"/>
      <c r="I186" s="52" t="s">
        <v>269</v>
      </c>
      <c r="J186" s="2"/>
      <c r="K186" s="2"/>
    </row>
    <row r="187" ht="15.0" customHeight="1">
      <c r="A187" s="49">
        <v>46029.0</v>
      </c>
      <c r="B187" s="52" t="s">
        <v>319</v>
      </c>
      <c r="C187" s="52" t="s">
        <v>28</v>
      </c>
      <c r="D187" s="52" t="s">
        <v>270</v>
      </c>
      <c r="E187" s="52" t="s">
        <v>509</v>
      </c>
      <c r="F187" s="2"/>
      <c r="G187" s="36">
        <v>-10.27</v>
      </c>
      <c r="H187" s="2"/>
      <c r="I187" s="52" t="s">
        <v>272</v>
      </c>
      <c r="J187" s="2"/>
      <c r="K187" s="2"/>
    </row>
    <row r="188" ht="15.0" customHeight="1">
      <c r="A188" s="49">
        <v>46029.0</v>
      </c>
      <c r="B188" s="52" t="s">
        <v>164</v>
      </c>
      <c r="C188" s="52" t="s">
        <v>27</v>
      </c>
      <c r="D188" s="52" t="s">
        <v>273</v>
      </c>
      <c r="E188" s="52" t="s">
        <v>274</v>
      </c>
      <c r="F188" s="2"/>
      <c r="G188" s="36">
        <v>-21.73</v>
      </c>
      <c r="H188" s="2"/>
      <c r="I188" s="52" t="s">
        <v>272</v>
      </c>
      <c r="J188" s="2"/>
      <c r="K188" s="2"/>
    </row>
    <row r="189" ht="15.0" customHeight="1">
      <c r="A189" s="49">
        <v>46029.0</v>
      </c>
      <c r="B189" s="52" t="s">
        <v>164</v>
      </c>
      <c r="C189" s="52" t="s">
        <v>27</v>
      </c>
      <c r="D189" s="52" t="s">
        <v>273</v>
      </c>
      <c r="E189" s="52" t="s">
        <v>274</v>
      </c>
      <c r="F189" s="2"/>
      <c r="G189" s="36">
        <v>-7.61</v>
      </c>
      <c r="H189" s="2"/>
      <c r="I189" s="52" t="s">
        <v>272</v>
      </c>
      <c r="J189" s="2"/>
      <c r="K189" s="2"/>
    </row>
    <row r="190" ht="15.0" customHeight="1">
      <c r="A190" s="49">
        <v>46029.0</v>
      </c>
      <c r="B190" s="52" t="s">
        <v>510</v>
      </c>
      <c r="C190" s="52" t="s">
        <v>155</v>
      </c>
      <c r="D190" s="52" t="s">
        <v>270</v>
      </c>
      <c r="E190" s="52" t="s">
        <v>511</v>
      </c>
      <c r="F190" s="2"/>
      <c r="G190" s="36">
        <v>-55.0</v>
      </c>
      <c r="H190" s="2"/>
      <c r="I190" s="52" t="s">
        <v>272</v>
      </c>
      <c r="J190" s="2"/>
      <c r="K190" s="2"/>
    </row>
    <row r="191" ht="15.0" customHeight="1">
      <c r="A191" s="49">
        <v>46028.0</v>
      </c>
      <c r="B191" s="52" t="s">
        <v>315</v>
      </c>
      <c r="C191" s="52" t="s">
        <v>26</v>
      </c>
      <c r="D191" s="52" t="s">
        <v>277</v>
      </c>
      <c r="E191" s="52" t="s">
        <v>316</v>
      </c>
      <c r="F191" s="2"/>
      <c r="G191" s="36">
        <v>-52.31</v>
      </c>
      <c r="H191" s="2"/>
      <c r="I191" s="52" t="s">
        <v>269</v>
      </c>
      <c r="J191" s="2"/>
      <c r="K191" s="2"/>
    </row>
    <row r="192" ht="15.0" customHeight="1">
      <c r="A192" s="49">
        <v>46028.0</v>
      </c>
      <c r="B192" s="52" t="s">
        <v>319</v>
      </c>
      <c r="C192" s="52" t="s">
        <v>28</v>
      </c>
      <c r="D192" s="52" t="s">
        <v>267</v>
      </c>
      <c r="E192" s="52" t="s">
        <v>512</v>
      </c>
      <c r="F192" s="2"/>
      <c r="G192" s="36">
        <v>-9.88</v>
      </c>
      <c r="H192" s="2"/>
      <c r="I192" s="52" t="s">
        <v>269</v>
      </c>
      <c r="J192" s="2"/>
      <c r="K192" s="2"/>
    </row>
    <row r="193" ht="15.0" customHeight="1">
      <c r="A193" s="49">
        <v>46028.0</v>
      </c>
      <c r="B193" s="52" t="s">
        <v>166</v>
      </c>
      <c r="C193" s="52" t="s">
        <v>26</v>
      </c>
      <c r="D193" s="52" t="s">
        <v>270</v>
      </c>
      <c r="E193" s="52" t="s">
        <v>374</v>
      </c>
      <c r="F193" s="2"/>
      <c r="G193" s="36">
        <v>-20.33</v>
      </c>
      <c r="H193" s="2"/>
      <c r="I193" s="52" t="s">
        <v>272</v>
      </c>
      <c r="J193" s="2"/>
      <c r="K193" s="2"/>
    </row>
    <row r="194" ht="15.0" customHeight="1">
      <c r="A194" s="49">
        <v>46028.0</v>
      </c>
      <c r="B194" s="52" t="s">
        <v>513</v>
      </c>
      <c r="C194" s="52" t="s">
        <v>455</v>
      </c>
      <c r="D194" s="52" t="s">
        <v>273</v>
      </c>
      <c r="E194" s="52" t="s">
        <v>514</v>
      </c>
      <c r="F194" s="2"/>
      <c r="G194" s="36">
        <v>-138.95</v>
      </c>
      <c r="H194" s="2"/>
      <c r="I194" s="52" t="s">
        <v>272</v>
      </c>
      <c r="J194" s="2"/>
      <c r="K194" s="2"/>
    </row>
    <row r="195" ht="15.0" customHeight="1">
      <c r="A195" s="49">
        <v>46028.0</v>
      </c>
      <c r="B195" s="52" t="s">
        <v>515</v>
      </c>
      <c r="C195" s="52" t="s">
        <v>455</v>
      </c>
      <c r="D195" s="52" t="s">
        <v>296</v>
      </c>
      <c r="E195" s="52" t="s">
        <v>516</v>
      </c>
      <c r="F195" s="2"/>
      <c r="G195" s="36">
        <v>-119.88</v>
      </c>
      <c r="H195" s="2"/>
      <c r="I195" s="52" t="s">
        <v>272</v>
      </c>
      <c r="J195" s="2"/>
      <c r="K195" s="2"/>
    </row>
    <row r="196" ht="15.0" customHeight="1">
      <c r="A196" s="49">
        <v>46027.0</v>
      </c>
      <c r="B196" s="52" t="s">
        <v>164</v>
      </c>
      <c r="C196" s="52" t="s">
        <v>27</v>
      </c>
      <c r="D196" s="52" t="s">
        <v>277</v>
      </c>
      <c r="E196" s="52" t="s">
        <v>274</v>
      </c>
      <c r="F196" s="2"/>
      <c r="G196" s="36">
        <v>-23.78</v>
      </c>
      <c r="H196" s="2"/>
      <c r="I196" s="52" t="s">
        <v>269</v>
      </c>
      <c r="J196" s="2"/>
      <c r="K196" s="2"/>
    </row>
    <row r="197" ht="15.0" customHeight="1">
      <c r="A197" s="49">
        <v>46027.0</v>
      </c>
      <c r="B197" s="52" t="s">
        <v>517</v>
      </c>
      <c r="C197" s="52" t="s">
        <v>518</v>
      </c>
      <c r="D197" s="52" t="s">
        <v>267</v>
      </c>
      <c r="E197" s="52" t="s">
        <v>519</v>
      </c>
      <c r="F197" s="2"/>
      <c r="G197" s="36">
        <v>-2942.31</v>
      </c>
      <c r="H197" s="2"/>
      <c r="I197" s="52" t="s">
        <v>269</v>
      </c>
      <c r="J197" s="2"/>
      <c r="K197" s="2"/>
    </row>
    <row r="198" ht="15.0" customHeight="1">
      <c r="A198" s="49">
        <v>46027.0</v>
      </c>
      <c r="B198" s="52" t="s">
        <v>520</v>
      </c>
      <c r="C198" s="52" t="s">
        <v>455</v>
      </c>
      <c r="D198" s="52" t="s">
        <v>267</v>
      </c>
      <c r="E198" s="52" t="s">
        <v>521</v>
      </c>
      <c r="F198" s="2"/>
      <c r="G198" s="36">
        <v>-196.84</v>
      </c>
      <c r="H198" s="2"/>
      <c r="I198" s="52" t="s">
        <v>269</v>
      </c>
      <c r="J198" s="2"/>
      <c r="K198" s="2"/>
    </row>
    <row r="199" ht="15.0" customHeight="1">
      <c r="A199" s="49">
        <v>46027.0</v>
      </c>
      <c r="B199" s="52" t="s">
        <v>522</v>
      </c>
      <c r="C199" s="52" t="s">
        <v>370</v>
      </c>
      <c r="D199" s="52" t="s">
        <v>267</v>
      </c>
      <c r="E199" s="52" t="s">
        <v>523</v>
      </c>
      <c r="F199" s="2"/>
      <c r="G199" s="36">
        <v>-5.0</v>
      </c>
      <c r="H199" s="2"/>
      <c r="I199" s="52" t="s">
        <v>269</v>
      </c>
      <c r="J199" s="2"/>
      <c r="K199" s="2"/>
    </row>
    <row r="200" ht="15.0" customHeight="1">
      <c r="A200" s="49">
        <v>46027.0</v>
      </c>
      <c r="B200" s="52" t="s">
        <v>344</v>
      </c>
      <c r="C200" s="52" t="s">
        <v>153</v>
      </c>
      <c r="D200" s="52" t="s">
        <v>267</v>
      </c>
      <c r="E200" s="52" t="s">
        <v>524</v>
      </c>
      <c r="F200" s="2"/>
      <c r="G200" s="36">
        <v>-9.99</v>
      </c>
      <c r="H200" s="2"/>
      <c r="I200" s="52" t="s">
        <v>269</v>
      </c>
      <c r="J200" s="2"/>
      <c r="K200" s="2"/>
    </row>
    <row r="201" ht="15.0" customHeight="1">
      <c r="A201" s="49">
        <v>46027.0</v>
      </c>
      <c r="B201" s="52" t="s">
        <v>525</v>
      </c>
      <c r="C201" s="52" t="s">
        <v>27</v>
      </c>
      <c r="D201" s="52" t="s">
        <v>267</v>
      </c>
      <c r="E201" s="52" t="s">
        <v>526</v>
      </c>
      <c r="F201" s="2"/>
      <c r="G201" s="36">
        <v>-8.7</v>
      </c>
      <c r="H201" s="2"/>
      <c r="I201" s="52" t="s">
        <v>269</v>
      </c>
      <c r="J201" s="2"/>
      <c r="K201" s="2"/>
    </row>
    <row r="202" ht="15.0" customHeight="1">
      <c r="A202" s="49">
        <v>46027.0</v>
      </c>
      <c r="B202" s="52" t="s">
        <v>166</v>
      </c>
      <c r="C202" s="52" t="s">
        <v>26</v>
      </c>
      <c r="D202" s="52" t="s">
        <v>270</v>
      </c>
      <c r="E202" s="52" t="s">
        <v>374</v>
      </c>
      <c r="F202" s="2"/>
      <c r="G202" s="36">
        <v>-41.59</v>
      </c>
      <c r="H202" s="2"/>
      <c r="I202" s="52" t="s">
        <v>272</v>
      </c>
      <c r="J202" s="2"/>
      <c r="K202" s="2"/>
    </row>
    <row r="203" ht="15.0" customHeight="1">
      <c r="A203" s="49">
        <v>46027.0</v>
      </c>
      <c r="B203" s="52" t="s">
        <v>527</v>
      </c>
      <c r="C203" s="52" t="s">
        <v>387</v>
      </c>
      <c r="D203" s="52" t="s">
        <v>270</v>
      </c>
      <c r="E203" s="52" t="s">
        <v>528</v>
      </c>
      <c r="F203" s="2"/>
      <c r="G203" s="36">
        <v>-267.15</v>
      </c>
      <c r="H203" s="2"/>
      <c r="I203" s="52" t="s">
        <v>272</v>
      </c>
      <c r="J203" s="2"/>
      <c r="K203" s="2"/>
    </row>
    <row r="204" ht="15.0" customHeight="1">
      <c r="A204" s="49">
        <v>46027.0</v>
      </c>
      <c r="B204" s="52" t="s">
        <v>319</v>
      </c>
      <c r="C204" s="52" t="s">
        <v>28</v>
      </c>
      <c r="D204" s="52" t="s">
        <v>270</v>
      </c>
      <c r="E204" s="52" t="s">
        <v>529</v>
      </c>
      <c r="F204" s="2"/>
      <c r="G204" s="36">
        <v>-16.79</v>
      </c>
      <c r="H204" s="2"/>
      <c r="I204" s="52" t="s">
        <v>272</v>
      </c>
      <c r="J204" s="2"/>
      <c r="K204" s="2"/>
    </row>
    <row r="205" ht="15.0" customHeight="1">
      <c r="A205" s="49">
        <v>46027.0</v>
      </c>
      <c r="B205" s="52" t="s">
        <v>440</v>
      </c>
      <c r="C205" s="52" t="s">
        <v>292</v>
      </c>
      <c r="D205" s="52" t="s">
        <v>270</v>
      </c>
      <c r="E205" s="52" t="s">
        <v>441</v>
      </c>
      <c r="F205" s="2"/>
      <c r="G205" s="36">
        <v>-3.2</v>
      </c>
      <c r="H205" s="2"/>
      <c r="I205" s="52" t="s">
        <v>272</v>
      </c>
      <c r="J205" s="2"/>
      <c r="K205" s="2"/>
    </row>
    <row r="206" ht="15.0" customHeight="1">
      <c r="A206" s="49">
        <v>46027.0</v>
      </c>
      <c r="B206" s="52" t="s">
        <v>440</v>
      </c>
      <c r="C206" s="52" t="s">
        <v>292</v>
      </c>
      <c r="D206" s="52" t="s">
        <v>270</v>
      </c>
      <c r="E206" s="52" t="s">
        <v>441</v>
      </c>
      <c r="F206" s="2"/>
      <c r="G206" s="36">
        <v>-3.2</v>
      </c>
      <c r="H206" s="2"/>
      <c r="I206" s="52" t="s">
        <v>272</v>
      </c>
      <c r="J206" s="2"/>
      <c r="K206" s="2"/>
    </row>
    <row r="207" ht="15.0" customHeight="1">
      <c r="A207" s="49">
        <v>46027.0</v>
      </c>
      <c r="B207" s="52" t="s">
        <v>321</v>
      </c>
      <c r="C207" s="52" t="s">
        <v>155</v>
      </c>
      <c r="D207" s="52" t="s">
        <v>270</v>
      </c>
      <c r="E207" s="52" t="s">
        <v>530</v>
      </c>
      <c r="F207" s="2"/>
      <c r="G207" s="36">
        <v>-10.76</v>
      </c>
      <c r="H207" s="2"/>
      <c r="I207" s="52" t="s">
        <v>272</v>
      </c>
      <c r="J207" s="2"/>
      <c r="K207" s="2"/>
    </row>
    <row r="208" ht="15.0" customHeight="1">
      <c r="A208" s="49">
        <v>46027.0</v>
      </c>
      <c r="B208" s="52" t="s">
        <v>531</v>
      </c>
      <c r="C208" s="52" t="s">
        <v>155</v>
      </c>
      <c r="D208" s="52" t="s">
        <v>270</v>
      </c>
      <c r="E208" s="52" t="s">
        <v>532</v>
      </c>
      <c r="F208" s="2"/>
      <c r="G208" s="36">
        <v>-11.3</v>
      </c>
      <c r="H208" s="2"/>
      <c r="I208" s="52" t="s">
        <v>272</v>
      </c>
      <c r="J208" s="2"/>
      <c r="K208" s="2"/>
    </row>
    <row r="209" ht="15.0" customHeight="1">
      <c r="A209" s="49">
        <v>46027.0</v>
      </c>
      <c r="B209" s="52" t="s">
        <v>321</v>
      </c>
      <c r="C209" s="52" t="s">
        <v>155</v>
      </c>
      <c r="D209" s="52" t="s">
        <v>270</v>
      </c>
      <c r="E209" s="52" t="s">
        <v>323</v>
      </c>
      <c r="F209" s="2"/>
      <c r="G209" s="36">
        <v>-5.43</v>
      </c>
      <c r="H209" s="2"/>
      <c r="I209" s="52" t="s">
        <v>272</v>
      </c>
      <c r="J209" s="2"/>
      <c r="K209" s="2"/>
    </row>
    <row r="210" ht="15.0" customHeight="1">
      <c r="A210" s="49">
        <v>46027.0</v>
      </c>
      <c r="B210" s="52" t="s">
        <v>186</v>
      </c>
      <c r="C210" s="52" t="s">
        <v>289</v>
      </c>
      <c r="D210" s="52" t="s">
        <v>296</v>
      </c>
      <c r="E210" s="52" t="s">
        <v>533</v>
      </c>
      <c r="F210" s="2"/>
      <c r="G210" s="36">
        <v>-100.0</v>
      </c>
      <c r="H210" s="2"/>
      <c r="I210" s="52" t="s">
        <v>272</v>
      </c>
      <c r="J210" s="2"/>
      <c r="K210" s="2"/>
    </row>
    <row r="211" ht="15.0" customHeight="1">
      <c r="A211" s="49">
        <v>46027.0</v>
      </c>
      <c r="B211" s="52" t="s">
        <v>186</v>
      </c>
      <c r="C211" s="52" t="s">
        <v>289</v>
      </c>
      <c r="D211" s="52" t="s">
        <v>296</v>
      </c>
      <c r="E211" s="52" t="s">
        <v>533</v>
      </c>
      <c r="F211" s="2"/>
      <c r="G211" s="36">
        <v>-5.0</v>
      </c>
      <c r="H211" s="2"/>
      <c r="I211" s="52" t="s">
        <v>272</v>
      </c>
      <c r="J211" s="2"/>
      <c r="K211" s="2"/>
    </row>
    <row r="212" ht="15.0" customHeight="1">
      <c r="A212" s="49">
        <v>46026.0</v>
      </c>
      <c r="B212" s="52" t="s">
        <v>534</v>
      </c>
      <c r="C212" s="52" t="s">
        <v>535</v>
      </c>
      <c r="D212" s="52" t="s">
        <v>277</v>
      </c>
      <c r="E212" s="52" t="s">
        <v>536</v>
      </c>
      <c r="F212" s="2"/>
      <c r="G212" s="36">
        <v>-102.99</v>
      </c>
      <c r="H212" s="2"/>
      <c r="I212" s="52" t="s">
        <v>269</v>
      </c>
      <c r="J212" s="2"/>
      <c r="K212" s="2"/>
    </row>
    <row r="213" ht="15.0" customHeight="1">
      <c r="A213" s="49">
        <v>46026.0</v>
      </c>
      <c r="B213" s="52" t="s">
        <v>164</v>
      </c>
      <c r="C213" s="52" t="s">
        <v>27</v>
      </c>
      <c r="D213" s="52" t="s">
        <v>277</v>
      </c>
      <c r="E213" s="52" t="s">
        <v>364</v>
      </c>
      <c r="F213" s="2"/>
      <c r="G213" s="36">
        <v>-13.04</v>
      </c>
      <c r="H213" s="2"/>
      <c r="I213" s="52" t="s">
        <v>269</v>
      </c>
      <c r="J213" s="2"/>
      <c r="K213" s="2"/>
    </row>
    <row r="214" ht="15.0" customHeight="1">
      <c r="A214" s="49">
        <v>46026.0</v>
      </c>
      <c r="B214" s="52" t="s">
        <v>164</v>
      </c>
      <c r="C214" s="52" t="s">
        <v>27</v>
      </c>
      <c r="D214" s="52" t="s">
        <v>277</v>
      </c>
      <c r="E214" s="52" t="s">
        <v>274</v>
      </c>
      <c r="F214" s="2"/>
      <c r="G214" s="36">
        <v>-46.11</v>
      </c>
      <c r="H214" s="2"/>
      <c r="I214" s="52" t="s">
        <v>269</v>
      </c>
      <c r="J214" s="2"/>
      <c r="K214" s="2"/>
    </row>
    <row r="215" ht="15.0" customHeight="1">
      <c r="A215" s="49">
        <v>46026.0</v>
      </c>
      <c r="B215" s="52" t="s">
        <v>276</v>
      </c>
      <c r="C215" s="52" t="s">
        <v>153</v>
      </c>
      <c r="D215" s="52" t="s">
        <v>270</v>
      </c>
      <c r="E215" s="52" t="s">
        <v>278</v>
      </c>
      <c r="F215" s="2"/>
      <c r="G215" s="36">
        <v>-9.99</v>
      </c>
      <c r="H215" s="2"/>
      <c r="I215" s="52" t="s">
        <v>272</v>
      </c>
      <c r="J215" s="2"/>
      <c r="K215" s="2"/>
    </row>
    <row r="216" ht="15.0" customHeight="1">
      <c r="A216" s="49">
        <v>46025.0</v>
      </c>
      <c r="B216" s="52" t="s">
        <v>537</v>
      </c>
      <c r="C216" s="52" t="s">
        <v>28</v>
      </c>
      <c r="D216" s="52" t="s">
        <v>277</v>
      </c>
      <c r="E216" s="52" t="s">
        <v>538</v>
      </c>
      <c r="F216" s="2"/>
      <c r="G216" s="36">
        <v>-43.5</v>
      </c>
      <c r="H216" s="2"/>
      <c r="I216" s="52" t="s">
        <v>269</v>
      </c>
      <c r="J216" s="2"/>
      <c r="K216" s="2"/>
    </row>
    <row r="217" ht="15.0" customHeight="1">
      <c r="A217" s="49">
        <v>46025.0</v>
      </c>
      <c r="B217" s="52" t="s">
        <v>164</v>
      </c>
      <c r="C217" s="52" t="s">
        <v>27</v>
      </c>
      <c r="D217" s="52" t="s">
        <v>277</v>
      </c>
      <c r="E217" s="52" t="s">
        <v>364</v>
      </c>
      <c r="F217" s="2"/>
      <c r="G217" s="36">
        <v>-30.48</v>
      </c>
      <c r="H217" s="2"/>
      <c r="I217" s="52" t="s">
        <v>269</v>
      </c>
      <c r="J217" s="2"/>
      <c r="K217" s="2"/>
    </row>
    <row r="218" ht="15.0" customHeight="1">
      <c r="A218" s="49">
        <v>46025.0</v>
      </c>
      <c r="B218" s="52" t="s">
        <v>166</v>
      </c>
      <c r="C218" s="52" t="s">
        <v>26</v>
      </c>
      <c r="D218" s="52" t="s">
        <v>270</v>
      </c>
      <c r="E218" s="52" t="s">
        <v>374</v>
      </c>
      <c r="F218" s="2"/>
      <c r="G218" s="36">
        <v>-132.5</v>
      </c>
      <c r="H218" s="2"/>
      <c r="I218" s="52" t="s">
        <v>272</v>
      </c>
      <c r="J218" s="2"/>
      <c r="K218" s="2"/>
    </row>
    <row r="219" ht="15.0" customHeight="1">
      <c r="A219" s="49">
        <v>46025.0</v>
      </c>
      <c r="B219" s="52" t="s">
        <v>384</v>
      </c>
      <c r="C219" s="52" t="s">
        <v>155</v>
      </c>
      <c r="D219" s="52" t="s">
        <v>296</v>
      </c>
      <c r="E219" s="52" t="s">
        <v>385</v>
      </c>
      <c r="F219" s="2"/>
      <c r="G219" s="36">
        <v>-5.0</v>
      </c>
      <c r="H219" s="2"/>
      <c r="I219" s="52" t="s">
        <v>272</v>
      </c>
      <c r="J219" s="2"/>
      <c r="K219" s="2"/>
    </row>
    <row r="220" ht="15.0" customHeight="1">
      <c r="A220" s="49">
        <v>46024.0</v>
      </c>
      <c r="B220" s="52" t="s">
        <v>539</v>
      </c>
      <c r="C220" s="52" t="s">
        <v>157</v>
      </c>
      <c r="D220" s="52" t="s">
        <v>277</v>
      </c>
      <c r="E220" s="52" t="s">
        <v>540</v>
      </c>
      <c r="F220" s="2"/>
      <c r="G220" s="36">
        <v>-649.0</v>
      </c>
      <c r="H220" s="2"/>
      <c r="I220" s="52" t="s">
        <v>269</v>
      </c>
      <c r="J220" s="2"/>
      <c r="K220" s="2"/>
    </row>
    <row r="221" ht="15.0" customHeight="1">
      <c r="A221" s="49">
        <v>46024.0</v>
      </c>
      <c r="B221" s="52" t="s">
        <v>85</v>
      </c>
      <c r="C221" s="52" t="s">
        <v>127</v>
      </c>
      <c r="D221" s="52" t="s">
        <v>267</v>
      </c>
      <c r="E221" s="52" t="s">
        <v>541</v>
      </c>
      <c r="F221" s="2"/>
      <c r="G221" s="36">
        <v>-1024.11</v>
      </c>
      <c r="H221" s="2"/>
      <c r="I221" s="52" t="s">
        <v>269</v>
      </c>
      <c r="J221" s="2"/>
      <c r="K221" s="2"/>
    </row>
    <row r="222" ht="15.0" customHeight="1">
      <c r="A222" s="49">
        <v>46024.0</v>
      </c>
      <c r="B222" s="52" t="s">
        <v>542</v>
      </c>
      <c r="C222" s="52" t="s">
        <v>28</v>
      </c>
      <c r="D222" s="52" t="s">
        <v>267</v>
      </c>
      <c r="E222" s="52" t="s">
        <v>543</v>
      </c>
      <c r="F222" s="2"/>
      <c r="G222" s="36">
        <v>-18.55</v>
      </c>
      <c r="H222" s="2"/>
      <c r="I222" s="52" t="s">
        <v>269</v>
      </c>
      <c r="J222" s="2"/>
      <c r="K222" s="2"/>
    </row>
    <row r="223" ht="15.0" customHeight="1">
      <c r="A223" s="49">
        <v>46024.0</v>
      </c>
      <c r="B223" s="52" t="s">
        <v>544</v>
      </c>
      <c r="C223" s="52" t="s">
        <v>308</v>
      </c>
      <c r="D223" s="52" t="s">
        <v>267</v>
      </c>
      <c r="E223" s="52" t="s">
        <v>545</v>
      </c>
      <c r="F223" s="2"/>
      <c r="G223" s="36">
        <v>-450.0</v>
      </c>
      <c r="H223" s="2"/>
      <c r="I223" s="52" t="s">
        <v>269</v>
      </c>
      <c r="J223" s="2"/>
      <c r="K223" s="2"/>
    </row>
    <row r="224" ht="15.0" customHeight="1">
      <c r="A224" s="49">
        <v>46024.0</v>
      </c>
      <c r="B224" s="52" t="s">
        <v>411</v>
      </c>
      <c r="C224" s="52" t="s">
        <v>412</v>
      </c>
      <c r="D224" s="52" t="s">
        <v>267</v>
      </c>
      <c r="E224" s="52" t="s">
        <v>546</v>
      </c>
      <c r="F224" s="2"/>
      <c r="G224" s="36">
        <v>3851.72</v>
      </c>
      <c r="H224" s="2"/>
      <c r="I224" s="52" t="s">
        <v>269</v>
      </c>
      <c r="J224" s="2"/>
      <c r="K224" s="2"/>
    </row>
    <row r="225" ht="15.0" customHeight="1">
      <c r="A225" s="49">
        <v>46024.0</v>
      </c>
      <c r="B225" s="52" t="s">
        <v>166</v>
      </c>
      <c r="C225" s="52" t="s">
        <v>26</v>
      </c>
      <c r="D225" s="52" t="s">
        <v>270</v>
      </c>
      <c r="E225" s="52" t="s">
        <v>374</v>
      </c>
      <c r="F225" s="2"/>
      <c r="G225" s="36">
        <v>-65.02</v>
      </c>
      <c r="H225" s="2"/>
      <c r="I225" s="52" t="s">
        <v>272</v>
      </c>
      <c r="J225" s="2"/>
      <c r="K225" s="2"/>
    </row>
    <row r="226" ht="15.0" customHeight="1">
      <c r="A226" s="49">
        <v>46024.0</v>
      </c>
      <c r="B226" s="52" t="s">
        <v>547</v>
      </c>
      <c r="C226" s="52" t="s">
        <v>153</v>
      </c>
      <c r="D226" s="52" t="s">
        <v>296</v>
      </c>
      <c r="E226" s="52" t="s">
        <v>548</v>
      </c>
      <c r="F226" s="2"/>
      <c r="G226" s="36">
        <v>-24.99</v>
      </c>
      <c r="H226" s="2"/>
      <c r="I226" s="52" t="s">
        <v>272</v>
      </c>
      <c r="J226" s="2"/>
      <c r="K226" s="2"/>
    </row>
    <row r="227" ht="15.0" customHeight="1">
      <c r="A227" s="49">
        <v>46023.0</v>
      </c>
      <c r="B227" s="52" t="s">
        <v>166</v>
      </c>
      <c r="C227" s="52" t="s">
        <v>26</v>
      </c>
      <c r="D227" s="52" t="s">
        <v>277</v>
      </c>
      <c r="E227" s="52" t="s">
        <v>374</v>
      </c>
      <c r="F227" s="2"/>
      <c r="G227" s="36">
        <v>-57.01</v>
      </c>
      <c r="H227" s="2"/>
      <c r="I227" s="52" t="s">
        <v>269</v>
      </c>
      <c r="J227" s="2"/>
      <c r="K227" s="2"/>
    </row>
    <row r="228" ht="15.0" customHeight="1">
      <c r="A228" s="49">
        <v>46023.0</v>
      </c>
      <c r="B228" s="52" t="s">
        <v>549</v>
      </c>
      <c r="C228" s="52" t="s">
        <v>153</v>
      </c>
      <c r="D228" s="52" t="s">
        <v>277</v>
      </c>
      <c r="E228" s="52" t="s">
        <v>550</v>
      </c>
      <c r="F228" s="2"/>
      <c r="G228" s="36">
        <v>-20.28</v>
      </c>
      <c r="H228" s="2"/>
      <c r="I228" s="52" t="s">
        <v>269</v>
      </c>
      <c r="J228" s="2"/>
      <c r="K228" s="2"/>
    </row>
    <row r="229" ht="15.0" customHeight="1">
      <c r="A229" s="49">
        <v>46023.0</v>
      </c>
      <c r="B229" s="52" t="s">
        <v>549</v>
      </c>
      <c r="C229" s="52" t="s">
        <v>153</v>
      </c>
      <c r="D229" s="52" t="s">
        <v>277</v>
      </c>
      <c r="E229" s="52" t="s">
        <v>550</v>
      </c>
      <c r="F229" s="2"/>
      <c r="G229" s="36">
        <v>-1.98</v>
      </c>
      <c r="H229" s="2"/>
      <c r="I229" s="52" t="s">
        <v>269</v>
      </c>
      <c r="J229" s="2"/>
      <c r="K229" s="2"/>
    </row>
    <row r="230" ht="15.0" customHeight="1">
      <c r="A230" s="49">
        <v>46023.0</v>
      </c>
      <c r="B230" s="52" t="s">
        <v>551</v>
      </c>
      <c r="C230" s="52" t="s">
        <v>455</v>
      </c>
      <c r="D230" s="52" t="s">
        <v>270</v>
      </c>
      <c r="E230" s="52" t="s">
        <v>552</v>
      </c>
      <c r="F230" s="2"/>
      <c r="G230" s="36">
        <v>-16.8</v>
      </c>
      <c r="H230" s="2"/>
      <c r="I230" s="52" t="s">
        <v>272</v>
      </c>
      <c r="J230" s="2"/>
      <c r="K230" s="2"/>
    </row>
    <row r="231" ht="15.0" customHeight="1">
      <c r="A231" s="49">
        <v>46023.0</v>
      </c>
      <c r="B231" s="52" t="s">
        <v>553</v>
      </c>
      <c r="C231" s="52" t="s">
        <v>455</v>
      </c>
      <c r="D231" s="52" t="s">
        <v>270</v>
      </c>
      <c r="E231" s="52" t="s">
        <v>554</v>
      </c>
      <c r="F231" s="2"/>
      <c r="G231" s="36">
        <v>-9.99</v>
      </c>
      <c r="H231" s="2"/>
      <c r="I231" s="52" t="s">
        <v>272</v>
      </c>
      <c r="J231" s="2"/>
      <c r="K231" s="2"/>
    </row>
    <row r="232" ht="15.0" customHeight="1">
      <c r="A232" s="49">
        <v>46023.0</v>
      </c>
      <c r="B232" s="52" t="s">
        <v>555</v>
      </c>
      <c r="C232" s="52" t="s">
        <v>455</v>
      </c>
      <c r="D232" s="52" t="s">
        <v>296</v>
      </c>
      <c r="E232" s="52" t="s">
        <v>556</v>
      </c>
      <c r="F232" s="2"/>
      <c r="G232" s="36">
        <v>-10.0</v>
      </c>
      <c r="H232" s="2"/>
      <c r="I232" s="52" t="s">
        <v>272</v>
      </c>
      <c r="J232" s="2"/>
      <c r="K232" s="2"/>
    </row>
    <row r="233" ht="15.0" customHeight="1">
      <c r="A233" s="49">
        <v>46022.0</v>
      </c>
      <c r="B233" s="52" t="s">
        <v>557</v>
      </c>
      <c r="C233" s="52" t="s">
        <v>518</v>
      </c>
      <c r="D233" s="52" t="s">
        <v>277</v>
      </c>
      <c r="E233" s="52" t="s">
        <v>558</v>
      </c>
      <c r="F233" s="2"/>
      <c r="G233" s="36">
        <v>-505.0</v>
      </c>
      <c r="H233" s="2"/>
      <c r="I233" s="52" t="s">
        <v>269</v>
      </c>
      <c r="J233" s="2"/>
      <c r="K233" s="2"/>
    </row>
    <row r="234" ht="15.0" customHeight="1">
      <c r="A234" s="49">
        <v>46022.0</v>
      </c>
      <c r="B234" s="52" t="s">
        <v>165</v>
      </c>
      <c r="C234" s="52" t="s">
        <v>28</v>
      </c>
      <c r="D234" s="52" t="s">
        <v>277</v>
      </c>
      <c r="E234" s="52" t="s">
        <v>313</v>
      </c>
      <c r="F234" s="2"/>
      <c r="G234" s="36">
        <v>-134.67</v>
      </c>
      <c r="H234" s="2"/>
      <c r="I234" s="52" t="s">
        <v>269</v>
      </c>
      <c r="J234" s="2"/>
      <c r="K234" s="2"/>
    </row>
    <row r="235" ht="15.0" customHeight="1">
      <c r="A235" s="49">
        <v>46022.0</v>
      </c>
      <c r="B235" s="52" t="s">
        <v>559</v>
      </c>
      <c r="C235" s="52" t="s">
        <v>308</v>
      </c>
      <c r="D235" s="52" t="s">
        <v>267</v>
      </c>
      <c r="E235" s="52" t="s">
        <v>560</v>
      </c>
      <c r="F235" s="2"/>
      <c r="G235" s="36">
        <v>450.0</v>
      </c>
      <c r="H235" s="2"/>
      <c r="I235" s="52" t="s">
        <v>269</v>
      </c>
      <c r="J235" s="2"/>
      <c r="K235" s="2"/>
    </row>
    <row r="236" ht="15.0" customHeight="1">
      <c r="A236" s="49">
        <v>46022.0</v>
      </c>
      <c r="B236" s="52" t="s">
        <v>411</v>
      </c>
      <c r="C236" s="52" t="s">
        <v>412</v>
      </c>
      <c r="D236" s="52" t="s">
        <v>267</v>
      </c>
      <c r="E236" s="52" t="s">
        <v>561</v>
      </c>
      <c r="F236" s="2"/>
      <c r="G236" s="36">
        <v>26259.7</v>
      </c>
      <c r="H236" s="2"/>
      <c r="I236" s="52" t="s">
        <v>269</v>
      </c>
      <c r="J236" s="2"/>
      <c r="K236" s="2"/>
    </row>
    <row r="237" ht="15.0" customHeight="1">
      <c r="A237" s="49">
        <v>46022.0</v>
      </c>
      <c r="B237" s="52" t="s">
        <v>562</v>
      </c>
      <c r="C237" s="52" t="s">
        <v>563</v>
      </c>
      <c r="D237" s="52" t="s">
        <v>564</v>
      </c>
      <c r="E237" s="52" t="s">
        <v>565</v>
      </c>
      <c r="F237" s="2"/>
      <c r="G237" s="36">
        <v>0.04</v>
      </c>
      <c r="H237" s="2"/>
      <c r="I237" s="52" t="s">
        <v>269</v>
      </c>
      <c r="J237" s="2"/>
      <c r="K237" s="2"/>
    </row>
    <row r="238" ht="15.0" customHeight="1">
      <c r="A238" s="49">
        <v>46022.0</v>
      </c>
      <c r="B238" s="52" t="s">
        <v>166</v>
      </c>
      <c r="C238" s="52" t="s">
        <v>26</v>
      </c>
      <c r="D238" s="52" t="s">
        <v>270</v>
      </c>
      <c r="E238" s="52" t="s">
        <v>374</v>
      </c>
      <c r="F238" s="2"/>
      <c r="G238" s="36">
        <v>-50.4</v>
      </c>
      <c r="H238" s="2"/>
      <c r="I238" s="52" t="s">
        <v>272</v>
      </c>
      <c r="J238" s="2"/>
      <c r="K238" s="2"/>
    </row>
    <row r="239" ht="15.0" customHeight="1">
      <c r="A239" s="49">
        <v>46022.0</v>
      </c>
      <c r="B239" s="52" t="s">
        <v>171</v>
      </c>
      <c r="C239" s="52" t="s">
        <v>26</v>
      </c>
      <c r="D239" s="52" t="s">
        <v>270</v>
      </c>
      <c r="E239" s="52" t="s">
        <v>439</v>
      </c>
      <c r="F239" s="2"/>
      <c r="G239" s="36">
        <v>-176.12</v>
      </c>
      <c r="H239" s="2"/>
      <c r="I239" s="52" t="s">
        <v>272</v>
      </c>
      <c r="J239" s="2"/>
      <c r="K239" s="2"/>
    </row>
    <row r="240" ht="15.0" customHeight="1">
      <c r="A240" s="49">
        <v>46022.0</v>
      </c>
      <c r="B240" s="52" t="s">
        <v>566</v>
      </c>
      <c r="C240" s="52" t="s">
        <v>563</v>
      </c>
      <c r="D240" s="52" t="s">
        <v>296</v>
      </c>
      <c r="E240" s="52" t="s">
        <v>566</v>
      </c>
      <c r="F240" s="2"/>
      <c r="G240" s="36">
        <v>0.05</v>
      </c>
      <c r="H240" s="2"/>
      <c r="I240" s="52" t="s">
        <v>272</v>
      </c>
      <c r="J240" s="2"/>
      <c r="K240" s="2"/>
    </row>
    <row r="241" ht="15.0" customHeight="1">
      <c r="A241" s="49">
        <v>46022.0</v>
      </c>
      <c r="B241" s="52" t="s">
        <v>355</v>
      </c>
      <c r="C241" s="52" t="s">
        <v>155</v>
      </c>
      <c r="D241" s="52" t="s">
        <v>296</v>
      </c>
      <c r="E241" s="52" t="s">
        <v>357</v>
      </c>
      <c r="F241" s="2"/>
      <c r="G241" s="36">
        <v>-40.0</v>
      </c>
      <c r="H241" s="2"/>
      <c r="I241" s="52" t="s">
        <v>272</v>
      </c>
      <c r="J241" s="2"/>
      <c r="K241" s="2"/>
    </row>
    <row r="242" ht="15.0" customHeight="1">
      <c r="A242" s="49">
        <v>46022.0</v>
      </c>
      <c r="B242" s="52" t="s">
        <v>301</v>
      </c>
      <c r="C242" s="52" t="s">
        <v>437</v>
      </c>
      <c r="D242" s="52" t="s">
        <v>296</v>
      </c>
      <c r="E242" s="52" t="s">
        <v>567</v>
      </c>
      <c r="F242" s="2"/>
      <c r="G242" s="36">
        <v>-5000.0</v>
      </c>
      <c r="H242" s="2"/>
      <c r="I242" s="52" t="s">
        <v>272</v>
      </c>
      <c r="J242" s="2"/>
      <c r="K242" s="2"/>
    </row>
    <row r="243" ht="15.0" customHeight="1">
      <c r="A243" s="49">
        <v>46022.0</v>
      </c>
      <c r="B243" s="52" t="s">
        <v>568</v>
      </c>
      <c r="C243" s="52" t="s">
        <v>412</v>
      </c>
      <c r="D243" s="52" t="s">
        <v>296</v>
      </c>
      <c r="E243" s="52" t="s">
        <v>569</v>
      </c>
      <c r="F243" s="2"/>
      <c r="G243" s="36">
        <v>3217.33</v>
      </c>
      <c r="H243" s="2"/>
      <c r="I243" s="52" t="s">
        <v>272</v>
      </c>
      <c r="J243" s="2"/>
      <c r="K243" s="2"/>
    </row>
    <row r="244" ht="15.0" customHeight="1">
      <c r="A244" s="49">
        <v>46021.0</v>
      </c>
      <c r="B244" s="52" t="s">
        <v>477</v>
      </c>
      <c r="C244" s="52" t="s">
        <v>289</v>
      </c>
      <c r="D244" s="52" t="s">
        <v>267</v>
      </c>
      <c r="E244" s="52" t="s">
        <v>570</v>
      </c>
      <c r="F244" s="2"/>
      <c r="G244" s="36">
        <v>-180.0</v>
      </c>
      <c r="H244" s="2"/>
      <c r="I244" s="52" t="s">
        <v>269</v>
      </c>
      <c r="J244" s="2"/>
      <c r="K244" s="2"/>
    </row>
    <row r="245" ht="15.0" customHeight="1">
      <c r="A245" s="49">
        <v>46021.0</v>
      </c>
      <c r="B245" s="52" t="s">
        <v>477</v>
      </c>
      <c r="C245" s="52" t="s">
        <v>289</v>
      </c>
      <c r="D245" s="52" t="s">
        <v>267</v>
      </c>
      <c r="E245" s="52" t="s">
        <v>571</v>
      </c>
      <c r="F245" s="2"/>
      <c r="G245" s="36">
        <v>-100.0</v>
      </c>
      <c r="H245" s="2"/>
      <c r="I245" s="52" t="s">
        <v>269</v>
      </c>
      <c r="J245" s="2"/>
      <c r="K245" s="2"/>
    </row>
    <row r="246" ht="15.0" customHeight="1">
      <c r="A246" s="49">
        <v>46021.0</v>
      </c>
      <c r="B246" s="52" t="s">
        <v>572</v>
      </c>
      <c r="C246" s="52" t="s">
        <v>152</v>
      </c>
      <c r="D246" s="52" t="s">
        <v>267</v>
      </c>
      <c r="E246" s="52" t="s">
        <v>573</v>
      </c>
      <c r="F246" s="2"/>
      <c r="G246" s="36">
        <v>-3.66</v>
      </c>
      <c r="H246" s="2"/>
      <c r="I246" s="52" t="s">
        <v>269</v>
      </c>
      <c r="J246" s="2"/>
      <c r="K246" s="2"/>
    </row>
    <row r="247" ht="15.0" customHeight="1">
      <c r="A247" s="49">
        <v>46021.0</v>
      </c>
      <c r="B247" s="52" t="s">
        <v>479</v>
      </c>
      <c r="C247" s="52" t="s">
        <v>370</v>
      </c>
      <c r="D247" s="52" t="s">
        <v>267</v>
      </c>
      <c r="E247" s="52" t="s">
        <v>574</v>
      </c>
      <c r="F247" s="2"/>
      <c r="G247" s="36">
        <v>-3.96</v>
      </c>
      <c r="H247" s="2"/>
      <c r="I247" s="52" t="s">
        <v>269</v>
      </c>
      <c r="J247" s="2"/>
      <c r="K247" s="2"/>
    </row>
    <row r="248" ht="15.0" customHeight="1">
      <c r="A248" s="49">
        <v>46021.0</v>
      </c>
      <c r="B248" s="52" t="s">
        <v>575</v>
      </c>
      <c r="C248" s="52" t="s">
        <v>153</v>
      </c>
      <c r="D248" s="52" t="s">
        <v>267</v>
      </c>
      <c r="E248" s="52" t="s">
        <v>576</v>
      </c>
      <c r="F248" s="2"/>
      <c r="G248" s="36">
        <v>-10.88</v>
      </c>
      <c r="H248" s="2"/>
      <c r="I248" s="52" t="s">
        <v>269</v>
      </c>
      <c r="J248" s="2"/>
      <c r="K248" s="2"/>
    </row>
    <row r="249" ht="15.0" customHeight="1">
      <c r="A249" s="49">
        <v>46021.0</v>
      </c>
      <c r="B249" s="52" t="s">
        <v>477</v>
      </c>
      <c r="C249" s="52" t="s">
        <v>289</v>
      </c>
      <c r="D249" s="52" t="s">
        <v>267</v>
      </c>
      <c r="E249" s="52" t="s">
        <v>577</v>
      </c>
      <c r="F249" s="2"/>
      <c r="G249" s="36">
        <v>150.0</v>
      </c>
      <c r="H249" s="2"/>
      <c r="I249" s="52" t="s">
        <v>269</v>
      </c>
      <c r="J249" s="2"/>
      <c r="K249" s="2"/>
    </row>
    <row r="250" ht="15.0" customHeight="1">
      <c r="A250" s="49">
        <v>46021.0</v>
      </c>
      <c r="B250" s="52" t="s">
        <v>578</v>
      </c>
      <c r="C250" s="52" t="s">
        <v>28</v>
      </c>
      <c r="D250" s="52" t="s">
        <v>270</v>
      </c>
      <c r="E250" s="52" t="s">
        <v>579</v>
      </c>
      <c r="F250" s="2"/>
      <c r="G250" s="36">
        <v>-19.16</v>
      </c>
      <c r="H250" s="2"/>
      <c r="I250" s="52" t="s">
        <v>272</v>
      </c>
      <c r="J250" s="2"/>
      <c r="K250" s="2"/>
    </row>
    <row r="251" ht="15.0" customHeight="1">
      <c r="A251" s="49">
        <v>46021.0</v>
      </c>
      <c r="B251" s="52" t="s">
        <v>447</v>
      </c>
      <c r="C251" s="52" t="s">
        <v>437</v>
      </c>
      <c r="D251" s="52" t="s">
        <v>270</v>
      </c>
      <c r="E251" s="52" t="s">
        <v>580</v>
      </c>
      <c r="F251" s="2"/>
      <c r="G251" s="36">
        <v>5000.0</v>
      </c>
      <c r="H251" s="2"/>
      <c r="I251" s="52" t="s">
        <v>272</v>
      </c>
      <c r="J251" s="2"/>
      <c r="K251" s="2"/>
    </row>
    <row r="252" ht="15.0" customHeight="1">
      <c r="A252" s="49">
        <v>46021.0</v>
      </c>
      <c r="B252" s="52" t="s">
        <v>581</v>
      </c>
      <c r="C252" s="52" t="s">
        <v>157</v>
      </c>
      <c r="D252" s="52" t="s">
        <v>270</v>
      </c>
      <c r="E252" s="52" t="s">
        <v>582</v>
      </c>
      <c r="F252" s="2"/>
      <c r="G252" s="36">
        <v>-149.0</v>
      </c>
      <c r="H252" s="2"/>
      <c r="I252" s="52" t="s">
        <v>272</v>
      </c>
      <c r="J252" s="2"/>
      <c r="K252" s="2"/>
    </row>
    <row r="253" ht="15.0" customHeight="1">
      <c r="A253" s="49">
        <v>46020.0</v>
      </c>
      <c r="B253" s="52" t="s">
        <v>165</v>
      </c>
      <c r="C253" s="52" t="s">
        <v>28</v>
      </c>
      <c r="D253" s="52" t="s">
        <v>277</v>
      </c>
      <c r="E253" s="52" t="s">
        <v>313</v>
      </c>
      <c r="F253" s="2"/>
      <c r="G253" s="36">
        <v>-22.99</v>
      </c>
      <c r="H253" s="2"/>
      <c r="I253" s="52" t="s">
        <v>269</v>
      </c>
      <c r="J253" s="2"/>
      <c r="K253" s="2"/>
    </row>
    <row r="254" ht="15.0" customHeight="1">
      <c r="A254" s="49">
        <v>46020.0</v>
      </c>
      <c r="B254" s="52" t="s">
        <v>583</v>
      </c>
      <c r="C254" s="52" t="s">
        <v>289</v>
      </c>
      <c r="D254" s="52" t="s">
        <v>267</v>
      </c>
      <c r="E254" s="52" t="s">
        <v>584</v>
      </c>
      <c r="F254" s="2"/>
      <c r="G254" s="36">
        <v>-20018.0</v>
      </c>
      <c r="H254" s="2"/>
      <c r="I254" s="52" t="s">
        <v>269</v>
      </c>
      <c r="J254" s="2"/>
      <c r="K254" s="2"/>
    </row>
    <row r="255" ht="15.0" customHeight="1">
      <c r="A255" s="49">
        <v>46020.0</v>
      </c>
      <c r="B255" s="52" t="s">
        <v>91</v>
      </c>
      <c r="C255" s="52" t="s">
        <v>27</v>
      </c>
      <c r="D255" s="52" t="s">
        <v>267</v>
      </c>
      <c r="E255" s="52" t="s">
        <v>585</v>
      </c>
      <c r="F255" s="2"/>
      <c r="G255" s="36">
        <v>-56.14</v>
      </c>
      <c r="H255" s="2"/>
      <c r="I255" s="52" t="s">
        <v>269</v>
      </c>
      <c r="J255" s="2"/>
      <c r="K255" s="2"/>
    </row>
    <row r="256" ht="15.0" customHeight="1">
      <c r="A256" s="49">
        <v>46020.0</v>
      </c>
      <c r="B256" s="52" t="s">
        <v>586</v>
      </c>
      <c r="C256" s="52" t="s">
        <v>28</v>
      </c>
      <c r="D256" s="52" t="s">
        <v>267</v>
      </c>
      <c r="E256" s="52" t="s">
        <v>587</v>
      </c>
      <c r="F256" s="2"/>
      <c r="G256" s="36">
        <v>-3.35</v>
      </c>
      <c r="H256" s="2"/>
      <c r="I256" s="52" t="s">
        <v>269</v>
      </c>
      <c r="J256" s="2"/>
      <c r="K256" s="2"/>
    </row>
    <row r="257" ht="15.0" customHeight="1">
      <c r="A257" s="49">
        <v>46020.0</v>
      </c>
      <c r="B257" s="52" t="s">
        <v>91</v>
      </c>
      <c r="C257" s="52" t="s">
        <v>27</v>
      </c>
      <c r="D257" s="52" t="s">
        <v>267</v>
      </c>
      <c r="E257" s="52" t="s">
        <v>588</v>
      </c>
      <c r="F257" s="2"/>
      <c r="G257" s="36">
        <v>-10.99</v>
      </c>
      <c r="H257" s="2"/>
      <c r="I257" s="52" t="s">
        <v>269</v>
      </c>
      <c r="J257" s="2"/>
      <c r="K257" s="2"/>
    </row>
    <row r="258" ht="15.0" customHeight="1">
      <c r="A258" s="49">
        <v>46020.0</v>
      </c>
      <c r="B258" s="52" t="s">
        <v>280</v>
      </c>
      <c r="C258" s="52" t="s">
        <v>281</v>
      </c>
      <c r="D258" s="52" t="s">
        <v>267</v>
      </c>
      <c r="E258" s="52" t="s">
        <v>589</v>
      </c>
      <c r="F258" s="2"/>
      <c r="G258" s="36">
        <v>-24.99</v>
      </c>
      <c r="H258" s="2"/>
      <c r="I258" s="52" t="s">
        <v>269</v>
      </c>
      <c r="J258" s="2"/>
      <c r="K258" s="2"/>
    </row>
    <row r="259" ht="15.0" customHeight="1">
      <c r="A259" s="49">
        <v>46020.0</v>
      </c>
      <c r="B259" s="52" t="s">
        <v>321</v>
      </c>
      <c r="C259" s="52" t="s">
        <v>152</v>
      </c>
      <c r="D259" s="52" t="s">
        <v>270</v>
      </c>
      <c r="E259" s="52" t="s">
        <v>323</v>
      </c>
      <c r="F259" s="2"/>
      <c r="G259" s="36">
        <v>-3.37</v>
      </c>
      <c r="H259" s="2"/>
      <c r="I259" s="52" t="s">
        <v>272</v>
      </c>
      <c r="J259" s="2"/>
      <c r="K259" s="2"/>
    </row>
    <row r="260" ht="15.0" customHeight="1">
      <c r="A260" s="49">
        <v>46020.0</v>
      </c>
      <c r="B260" s="52" t="s">
        <v>590</v>
      </c>
      <c r="C260" s="52" t="s">
        <v>154</v>
      </c>
      <c r="D260" s="52" t="s">
        <v>270</v>
      </c>
      <c r="E260" s="52" t="s">
        <v>591</v>
      </c>
      <c r="F260" s="2"/>
      <c r="G260" s="36">
        <v>189.0</v>
      </c>
      <c r="H260" s="2"/>
      <c r="I260" s="52" t="s">
        <v>272</v>
      </c>
      <c r="J260" s="2"/>
      <c r="K260" s="2"/>
    </row>
    <row r="261" ht="15.0" customHeight="1">
      <c r="A261" s="49">
        <v>46020.0</v>
      </c>
      <c r="B261" s="52" t="s">
        <v>315</v>
      </c>
      <c r="C261" s="52" t="s">
        <v>159</v>
      </c>
      <c r="D261" s="52" t="s">
        <v>270</v>
      </c>
      <c r="E261" s="52" t="s">
        <v>592</v>
      </c>
      <c r="F261" s="2"/>
      <c r="G261" s="36">
        <v>-16.99</v>
      </c>
      <c r="H261" s="2"/>
      <c r="I261" s="52" t="s">
        <v>272</v>
      </c>
      <c r="J261" s="2"/>
      <c r="K261" s="2"/>
    </row>
    <row r="262" ht="15.0" customHeight="1">
      <c r="A262" s="49">
        <v>46020.0</v>
      </c>
      <c r="B262" s="52" t="s">
        <v>301</v>
      </c>
      <c r="C262" s="52" t="s">
        <v>289</v>
      </c>
      <c r="D262" s="52" t="s">
        <v>270</v>
      </c>
      <c r="E262" s="52" t="s">
        <v>302</v>
      </c>
      <c r="F262" s="2"/>
      <c r="G262" s="36">
        <v>-155.0</v>
      </c>
      <c r="H262" s="2"/>
      <c r="I262" s="52" t="s">
        <v>272</v>
      </c>
      <c r="J262" s="2"/>
      <c r="K262" s="2"/>
    </row>
    <row r="263" ht="15.0" customHeight="1">
      <c r="A263" s="49">
        <v>46019.0</v>
      </c>
      <c r="B263" s="52" t="s">
        <v>166</v>
      </c>
      <c r="C263" s="52" t="s">
        <v>26</v>
      </c>
      <c r="D263" s="52" t="s">
        <v>270</v>
      </c>
      <c r="E263" s="52" t="s">
        <v>374</v>
      </c>
      <c r="F263" s="2"/>
      <c r="G263" s="36">
        <v>-16.33</v>
      </c>
      <c r="H263" s="2"/>
      <c r="I263" s="52" t="s">
        <v>272</v>
      </c>
      <c r="J263" s="2"/>
      <c r="K263" s="2"/>
    </row>
    <row r="264" ht="15.0" customHeight="1">
      <c r="A264" s="49">
        <v>46019.0</v>
      </c>
      <c r="B264" s="52" t="s">
        <v>171</v>
      </c>
      <c r="C264" s="52" t="s">
        <v>26</v>
      </c>
      <c r="D264" s="52" t="s">
        <v>270</v>
      </c>
      <c r="E264" s="52" t="s">
        <v>439</v>
      </c>
      <c r="F264" s="2"/>
      <c r="G264" s="36">
        <v>-74.28</v>
      </c>
      <c r="H264" s="2"/>
      <c r="I264" s="52" t="s">
        <v>272</v>
      </c>
      <c r="J264" s="2"/>
      <c r="K264" s="2"/>
    </row>
    <row r="265" ht="15.0" customHeight="1">
      <c r="A265" s="49">
        <v>46019.0</v>
      </c>
      <c r="B265" s="52" t="s">
        <v>171</v>
      </c>
      <c r="C265" s="52" t="s">
        <v>26</v>
      </c>
      <c r="D265" s="52" t="s">
        <v>270</v>
      </c>
      <c r="E265" s="52" t="s">
        <v>439</v>
      </c>
      <c r="F265" s="2"/>
      <c r="G265" s="36">
        <v>-51.28</v>
      </c>
      <c r="H265" s="2"/>
      <c r="I265" s="52" t="s">
        <v>272</v>
      </c>
      <c r="J265" s="2"/>
      <c r="K265" s="2"/>
    </row>
    <row r="266" ht="15.0" customHeight="1">
      <c r="A266" s="49">
        <v>46019.0</v>
      </c>
      <c r="B266" s="52" t="s">
        <v>321</v>
      </c>
      <c r="C266" s="52" t="s">
        <v>152</v>
      </c>
      <c r="D266" s="52" t="s">
        <v>270</v>
      </c>
      <c r="E266" s="52" t="s">
        <v>323</v>
      </c>
      <c r="F266" s="2"/>
      <c r="G266" s="36">
        <v>-50.31</v>
      </c>
      <c r="H266" s="2"/>
      <c r="I266" s="52" t="s">
        <v>272</v>
      </c>
      <c r="J266" s="2"/>
      <c r="K266" s="2"/>
    </row>
    <row r="267" ht="15.0" customHeight="1">
      <c r="A267" s="49">
        <v>46019.0</v>
      </c>
      <c r="B267" s="52" t="s">
        <v>593</v>
      </c>
      <c r="C267" s="52" t="s">
        <v>308</v>
      </c>
      <c r="D267" s="52" t="s">
        <v>296</v>
      </c>
      <c r="E267" s="52" t="s">
        <v>593</v>
      </c>
      <c r="F267" s="2"/>
      <c r="G267" s="36">
        <v>10000.0</v>
      </c>
      <c r="H267" s="2"/>
      <c r="I267" s="52" t="s">
        <v>272</v>
      </c>
      <c r="J267" s="2"/>
      <c r="K267" s="2"/>
    </row>
    <row r="268" ht="15.0" customHeight="1">
      <c r="A268" s="49">
        <v>46018.0</v>
      </c>
      <c r="B268" s="52" t="s">
        <v>276</v>
      </c>
      <c r="C268" s="52" t="s">
        <v>153</v>
      </c>
      <c r="D268" s="52" t="s">
        <v>277</v>
      </c>
      <c r="E268" s="52" t="s">
        <v>278</v>
      </c>
      <c r="F268" s="2"/>
      <c r="G268" s="36">
        <v>-4.99</v>
      </c>
      <c r="H268" s="2"/>
      <c r="I268" s="52" t="s">
        <v>269</v>
      </c>
      <c r="J268" s="2"/>
      <c r="K268" s="2"/>
    </row>
    <row r="269" ht="15.0" customHeight="1">
      <c r="A269" s="49">
        <v>46018.0</v>
      </c>
      <c r="B269" s="52" t="s">
        <v>594</v>
      </c>
      <c r="C269" s="52" t="s">
        <v>157</v>
      </c>
      <c r="D269" s="52" t="s">
        <v>277</v>
      </c>
      <c r="E269" s="52" t="s">
        <v>595</v>
      </c>
      <c r="F269" s="2"/>
      <c r="G269" s="36">
        <v>-276.04</v>
      </c>
      <c r="H269" s="2"/>
      <c r="I269" s="52" t="s">
        <v>269</v>
      </c>
      <c r="J269" s="2"/>
      <c r="K269" s="2"/>
    </row>
    <row r="270" ht="15.0" customHeight="1">
      <c r="A270" s="49">
        <v>46018.0</v>
      </c>
      <c r="B270" s="52" t="s">
        <v>164</v>
      </c>
      <c r="C270" s="52" t="s">
        <v>27</v>
      </c>
      <c r="D270" s="52" t="s">
        <v>273</v>
      </c>
      <c r="E270" s="52" t="s">
        <v>364</v>
      </c>
      <c r="F270" s="2"/>
      <c r="G270" s="36">
        <v>-77.23</v>
      </c>
      <c r="H270" s="2"/>
      <c r="I270" s="52" t="s">
        <v>272</v>
      </c>
      <c r="J270" s="2"/>
      <c r="K270" s="2"/>
    </row>
    <row r="271" ht="15.0" customHeight="1">
      <c r="A271" s="49">
        <v>46018.0</v>
      </c>
      <c r="B271" s="52" t="s">
        <v>164</v>
      </c>
      <c r="C271" s="52" t="s">
        <v>27</v>
      </c>
      <c r="D271" s="52" t="s">
        <v>273</v>
      </c>
      <c r="E271" s="52" t="s">
        <v>596</v>
      </c>
      <c r="F271" s="2"/>
      <c r="G271" s="36">
        <v>-10.99</v>
      </c>
      <c r="H271" s="2"/>
      <c r="I271" s="52" t="s">
        <v>272</v>
      </c>
      <c r="J271" s="2"/>
      <c r="K271" s="2"/>
    </row>
    <row r="272" ht="15.0" customHeight="1">
      <c r="A272" s="49">
        <v>46017.0</v>
      </c>
      <c r="B272" s="52" t="s">
        <v>165</v>
      </c>
      <c r="C272" s="52" t="s">
        <v>28</v>
      </c>
      <c r="D272" s="52" t="s">
        <v>277</v>
      </c>
      <c r="E272" s="52" t="s">
        <v>313</v>
      </c>
      <c r="F272" s="2"/>
      <c r="G272" s="36">
        <v>-151.56</v>
      </c>
      <c r="H272" s="2"/>
      <c r="I272" s="52" t="s">
        <v>269</v>
      </c>
      <c r="J272" s="2"/>
      <c r="K272" s="2"/>
    </row>
    <row r="273" ht="15.0" customHeight="1">
      <c r="A273" s="49">
        <v>46017.0</v>
      </c>
      <c r="B273" s="52" t="s">
        <v>381</v>
      </c>
      <c r="C273" s="52" t="s">
        <v>156</v>
      </c>
      <c r="D273" s="52" t="s">
        <v>277</v>
      </c>
      <c r="E273" s="52" t="s">
        <v>382</v>
      </c>
      <c r="F273" s="2"/>
      <c r="G273" s="36">
        <v>-87.12</v>
      </c>
      <c r="H273" s="2"/>
      <c r="I273" s="52" t="s">
        <v>269</v>
      </c>
      <c r="J273" s="2"/>
      <c r="K273" s="2"/>
    </row>
    <row r="274" ht="15.0" customHeight="1">
      <c r="A274" s="49">
        <v>46017.0</v>
      </c>
      <c r="B274" s="52" t="s">
        <v>346</v>
      </c>
      <c r="C274" s="52" t="s">
        <v>153</v>
      </c>
      <c r="D274" s="52" t="s">
        <v>267</v>
      </c>
      <c r="E274" s="52" t="s">
        <v>597</v>
      </c>
      <c r="F274" s="2"/>
      <c r="G274" s="36">
        <v>-65.33</v>
      </c>
      <c r="H274" s="2"/>
      <c r="I274" s="52" t="s">
        <v>269</v>
      </c>
      <c r="J274" s="2"/>
      <c r="K274" s="2"/>
    </row>
    <row r="275" ht="15.0" customHeight="1">
      <c r="A275" s="49">
        <v>46017.0</v>
      </c>
      <c r="B275" s="52" t="s">
        <v>346</v>
      </c>
      <c r="C275" s="52" t="s">
        <v>153</v>
      </c>
      <c r="D275" s="52" t="s">
        <v>267</v>
      </c>
      <c r="E275" s="52" t="s">
        <v>598</v>
      </c>
      <c r="F275" s="2"/>
      <c r="G275" s="36">
        <v>-9.79</v>
      </c>
      <c r="H275" s="2"/>
      <c r="I275" s="52" t="s">
        <v>269</v>
      </c>
      <c r="J275" s="2"/>
      <c r="K275" s="2"/>
    </row>
    <row r="276" ht="15.0" customHeight="1">
      <c r="A276" s="49">
        <v>46017.0</v>
      </c>
      <c r="B276" s="52" t="s">
        <v>346</v>
      </c>
      <c r="C276" s="52" t="s">
        <v>153</v>
      </c>
      <c r="D276" s="52" t="s">
        <v>267</v>
      </c>
      <c r="E276" s="52" t="s">
        <v>599</v>
      </c>
      <c r="F276" s="2"/>
      <c r="G276" s="36">
        <v>-65.33</v>
      </c>
      <c r="H276" s="2"/>
      <c r="I276" s="52" t="s">
        <v>269</v>
      </c>
      <c r="J276" s="2"/>
      <c r="K276" s="2"/>
    </row>
    <row r="277" ht="15.0" customHeight="1">
      <c r="A277" s="49">
        <v>46017.0</v>
      </c>
      <c r="B277" s="52" t="s">
        <v>600</v>
      </c>
      <c r="C277" s="52" t="s">
        <v>27</v>
      </c>
      <c r="D277" s="52" t="s">
        <v>267</v>
      </c>
      <c r="E277" s="52" t="s">
        <v>601</v>
      </c>
      <c r="F277" s="2"/>
      <c r="G277" s="36">
        <v>-40.0</v>
      </c>
      <c r="H277" s="2"/>
      <c r="I277" s="52" t="s">
        <v>269</v>
      </c>
      <c r="J277" s="2"/>
      <c r="K277" s="2"/>
    </row>
    <row r="278" ht="15.0" customHeight="1">
      <c r="A278" s="49">
        <v>46017.0</v>
      </c>
      <c r="B278" s="52" t="s">
        <v>602</v>
      </c>
      <c r="C278" s="52" t="s">
        <v>27</v>
      </c>
      <c r="D278" s="52" t="s">
        <v>267</v>
      </c>
      <c r="E278" s="52" t="s">
        <v>603</v>
      </c>
      <c r="F278" s="2"/>
      <c r="G278" s="36">
        <v>-40.0</v>
      </c>
      <c r="H278" s="2"/>
      <c r="I278" s="52" t="s">
        <v>269</v>
      </c>
      <c r="J278" s="2"/>
      <c r="K278" s="2"/>
    </row>
    <row r="279" ht="15.0" customHeight="1">
      <c r="A279" s="49">
        <v>46017.0</v>
      </c>
      <c r="B279" s="52" t="s">
        <v>604</v>
      </c>
      <c r="C279" s="52" t="s">
        <v>426</v>
      </c>
      <c r="D279" s="52" t="s">
        <v>267</v>
      </c>
      <c r="E279" s="52" t="s">
        <v>605</v>
      </c>
      <c r="F279" s="2"/>
      <c r="G279" s="36">
        <v>-165.53</v>
      </c>
      <c r="H279" s="2"/>
      <c r="I279" s="52" t="s">
        <v>269</v>
      </c>
      <c r="J279" s="2"/>
      <c r="K279" s="2"/>
    </row>
    <row r="280" ht="15.0" customHeight="1">
      <c r="A280" s="49">
        <v>46017.0</v>
      </c>
      <c r="B280" s="52" t="s">
        <v>346</v>
      </c>
      <c r="C280" s="52" t="s">
        <v>153</v>
      </c>
      <c r="D280" s="52" t="s">
        <v>267</v>
      </c>
      <c r="E280" s="52" t="s">
        <v>606</v>
      </c>
      <c r="F280" s="2"/>
      <c r="G280" s="36">
        <v>-10.88</v>
      </c>
      <c r="H280" s="2"/>
      <c r="I280" s="52" t="s">
        <v>269</v>
      </c>
      <c r="J280" s="2"/>
      <c r="K280" s="2"/>
    </row>
    <row r="281" ht="15.0" customHeight="1">
      <c r="A281" s="49">
        <v>46017.0</v>
      </c>
      <c r="B281" s="52" t="s">
        <v>299</v>
      </c>
      <c r="C281" s="52" t="s">
        <v>153</v>
      </c>
      <c r="D281" s="52" t="s">
        <v>267</v>
      </c>
      <c r="E281" s="52" t="s">
        <v>607</v>
      </c>
      <c r="F281" s="2"/>
      <c r="G281" s="36">
        <v>-11.99</v>
      </c>
      <c r="H281" s="2"/>
      <c r="I281" s="52" t="s">
        <v>269</v>
      </c>
      <c r="J281" s="2"/>
      <c r="K281" s="2"/>
    </row>
    <row r="282" ht="15.0" customHeight="1">
      <c r="A282" s="49">
        <v>46017.0</v>
      </c>
      <c r="B282" s="52" t="s">
        <v>608</v>
      </c>
      <c r="C282" s="52" t="s">
        <v>26</v>
      </c>
      <c r="D282" s="52" t="s">
        <v>270</v>
      </c>
      <c r="E282" s="52" t="s">
        <v>609</v>
      </c>
      <c r="F282" s="2"/>
      <c r="G282" s="36">
        <v>-6.51</v>
      </c>
      <c r="H282" s="2"/>
      <c r="I282" s="52" t="s">
        <v>272</v>
      </c>
      <c r="J282" s="2"/>
      <c r="K282" s="2"/>
    </row>
    <row r="283" ht="15.0" customHeight="1">
      <c r="A283" s="49">
        <v>46017.0</v>
      </c>
      <c r="B283" s="52" t="s">
        <v>171</v>
      </c>
      <c r="C283" s="52" t="s">
        <v>26</v>
      </c>
      <c r="D283" s="52" t="s">
        <v>270</v>
      </c>
      <c r="E283" s="52" t="s">
        <v>439</v>
      </c>
      <c r="F283" s="2"/>
      <c r="G283" s="36">
        <v>-88.09</v>
      </c>
      <c r="H283" s="2"/>
      <c r="I283" s="52" t="s">
        <v>272</v>
      </c>
      <c r="J283" s="2"/>
      <c r="K283" s="2"/>
    </row>
    <row r="284" ht="15.0" customHeight="1">
      <c r="A284" s="49">
        <v>46017.0</v>
      </c>
      <c r="B284" s="52" t="s">
        <v>440</v>
      </c>
      <c r="C284" s="52" t="s">
        <v>292</v>
      </c>
      <c r="D284" s="52" t="s">
        <v>270</v>
      </c>
      <c r="E284" s="52" t="s">
        <v>441</v>
      </c>
      <c r="F284" s="2"/>
      <c r="G284" s="36">
        <v>-3.2</v>
      </c>
      <c r="H284" s="2"/>
      <c r="I284" s="52" t="s">
        <v>272</v>
      </c>
      <c r="J284" s="2"/>
      <c r="K284" s="2"/>
    </row>
    <row r="285" ht="15.0" customHeight="1">
      <c r="A285" s="49">
        <v>46017.0</v>
      </c>
      <c r="B285" s="52" t="s">
        <v>276</v>
      </c>
      <c r="C285" s="52" t="s">
        <v>153</v>
      </c>
      <c r="D285" s="52" t="s">
        <v>270</v>
      </c>
      <c r="E285" s="52" t="s">
        <v>278</v>
      </c>
      <c r="F285" s="2"/>
      <c r="G285" s="36">
        <v>-2.99</v>
      </c>
      <c r="H285" s="2"/>
      <c r="I285" s="52" t="s">
        <v>272</v>
      </c>
      <c r="J285" s="2"/>
      <c r="K285" s="2"/>
    </row>
    <row r="286" ht="15.0" customHeight="1">
      <c r="A286" s="49">
        <v>46017.0</v>
      </c>
      <c r="B286" s="52" t="s">
        <v>303</v>
      </c>
      <c r="C286" s="52" t="s">
        <v>155</v>
      </c>
      <c r="D286" s="52" t="s">
        <v>273</v>
      </c>
      <c r="E286" s="52" t="s">
        <v>304</v>
      </c>
      <c r="F286" s="2"/>
      <c r="G286" s="36">
        <v>-25.0</v>
      </c>
      <c r="H286" s="2"/>
      <c r="I286" s="52" t="s">
        <v>272</v>
      </c>
      <c r="J286" s="2"/>
      <c r="K286" s="2"/>
    </row>
    <row r="287" ht="15.0" customHeight="1">
      <c r="A287" s="49">
        <v>46016.0</v>
      </c>
      <c r="B287" s="52" t="s">
        <v>381</v>
      </c>
      <c r="C287" s="52" t="s">
        <v>156</v>
      </c>
      <c r="D287" s="52" t="s">
        <v>277</v>
      </c>
      <c r="E287" s="52" t="s">
        <v>382</v>
      </c>
      <c r="F287" s="2"/>
      <c r="G287" s="36">
        <v>-22.56</v>
      </c>
      <c r="H287" s="2"/>
      <c r="I287" s="52" t="s">
        <v>269</v>
      </c>
      <c r="J287" s="2"/>
      <c r="K287" s="2"/>
    </row>
    <row r="288" ht="15.0" customHeight="1">
      <c r="A288" s="49">
        <v>46016.0</v>
      </c>
      <c r="B288" s="52" t="s">
        <v>440</v>
      </c>
      <c r="C288" s="52" t="s">
        <v>292</v>
      </c>
      <c r="D288" s="52" t="s">
        <v>270</v>
      </c>
      <c r="E288" s="52" t="s">
        <v>441</v>
      </c>
      <c r="F288" s="2"/>
      <c r="G288" s="36">
        <v>-3.2</v>
      </c>
      <c r="H288" s="2"/>
      <c r="I288" s="52" t="s">
        <v>272</v>
      </c>
      <c r="J288" s="2"/>
      <c r="K288" s="2"/>
    </row>
    <row r="289" ht="15.0" customHeight="1">
      <c r="A289" s="49">
        <v>46016.0</v>
      </c>
      <c r="B289" s="52" t="s">
        <v>610</v>
      </c>
      <c r="C289" s="52" t="s">
        <v>28</v>
      </c>
      <c r="D289" s="52" t="s">
        <v>270</v>
      </c>
      <c r="E289" s="52" t="s">
        <v>611</v>
      </c>
      <c r="F289" s="2"/>
      <c r="G289" s="36">
        <v>-21.53</v>
      </c>
      <c r="H289" s="2"/>
      <c r="I289" s="52" t="s">
        <v>272</v>
      </c>
      <c r="J289" s="2"/>
      <c r="K289" s="2"/>
    </row>
    <row r="290" ht="15.0" customHeight="1">
      <c r="A290" s="49">
        <v>46016.0</v>
      </c>
      <c r="B290" s="52" t="s">
        <v>531</v>
      </c>
      <c r="C290" s="52" t="s">
        <v>155</v>
      </c>
      <c r="D290" s="52" t="s">
        <v>270</v>
      </c>
      <c r="E290" s="52" t="s">
        <v>532</v>
      </c>
      <c r="F290" s="2"/>
      <c r="G290" s="36">
        <v>-19.38</v>
      </c>
      <c r="H290" s="2"/>
      <c r="I290" s="52" t="s">
        <v>272</v>
      </c>
      <c r="J290" s="2"/>
      <c r="K290" s="2"/>
    </row>
    <row r="291" ht="15.0" customHeight="1">
      <c r="A291" s="49">
        <v>46015.0</v>
      </c>
      <c r="B291" s="52" t="s">
        <v>165</v>
      </c>
      <c r="C291" s="52" t="s">
        <v>28</v>
      </c>
      <c r="D291" s="52" t="s">
        <v>277</v>
      </c>
      <c r="E291" s="52" t="s">
        <v>314</v>
      </c>
      <c r="F291" s="2"/>
      <c r="G291" s="36">
        <v>-80.17</v>
      </c>
      <c r="H291" s="2"/>
      <c r="I291" s="52" t="s">
        <v>269</v>
      </c>
      <c r="J291" s="2"/>
      <c r="K291" s="2"/>
    </row>
    <row r="292" ht="15.0" customHeight="1">
      <c r="A292" s="49">
        <v>46015.0</v>
      </c>
      <c r="B292" s="52" t="s">
        <v>285</v>
      </c>
      <c r="C292" s="52" t="s">
        <v>286</v>
      </c>
      <c r="D292" s="52" t="s">
        <v>267</v>
      </c>
      <c r="E292" s="52" t="s">
        <v>612</v>
      </c>
      <c r="F292" s="2"/>
      <c r="G292" s="36">
        <v>-90.0</v>
      </c>
      <c r="H292" s="2"/>
      <c r="I292" s="52" t="s">
        <v>269</v>
      </c>
      <c r="J292" s="2"/>
      <c r="K292" s="2"/>
    </row>
    <row r="293" ht="15.0" customHeight="1">
      <c r="A293" s="49">
        <v>46015.0</v>
      </c>
      <c r="B293" s="52" t="s">
        <v>431</v>
      </c>
      <c r="C293" s="52" t="s">
        <v>157</v>
      </c>
      <c r="D293" s="52" t="s">
        <v>267</v>
      </c>
      <c r="E293" s="52" t="s">
        <v>613</v>
      </c>
      <c r="F293" s="2"/>
      <c r="G293" s="36">
        <v>-1000.0</v>
      </c>
      <c r="H293" s="2"/>
      <c r="I293" s="52" t="s">
        <v>269</v>
      </c>
      <c r="J293" s="2"/>
      <c r="K293" s="2"/>
    </row>
    <row r="294" ht="15.0" customHeight="1">
      <c r="A294" s="49">
        <v>46015.0</v>
      </c>
      <c r="B294" s="52" t="s">
        <v>346</v>
      </c>
      <c r="C294" s="52" t="s">
        <v>153</v>
      </c>
      <c r="D294" s="52" t="s">
        <v>267</v>
      </c>
      <c r="E294" s="52" t="s">
        <v>614</v>
      </c>
      <c r="F294" s="2"/>
      <c r="G294" s="36">
        <v>-32.66</v>
      </c>
      <c r="H294" s="2"/>
      <c r="I294" s="52" t="s">
        <v>269</v>
      </c>
      <c r="J294" s="2"/>
      <c r="K294" s="2"/>
    </row>
    <row r="295" ht="15.0" customHeight="1">
      <c r="A295" s="49">
        <v>46015.0</v>
      </c>
      <c r="B295" s="52" t="s">
        <v>346</v>
      </c>
      <c r="C295" s="52" t="s">
        <v>153</v>
      </c>
      <c r="D295" s="52" t="s">
        <v>267</v>
      </c>
      <c r="E295" s="52" t="s">
        <v>615</v>
      </c>
      <c r="F295" s="2"/>
      <c r="G295" s="36">
        <v>-34.84</v>
      </c>
      <c r="H295" s="2"/>
      <c r="I295" s="52" t="s">
        <v>269</v>
      </c>
      <c r="J295" s="2"/>
      <c r="K295" s="2"/>
    </row>
    <row r="296" ht="15.0" customHeight="1">
      <c r="A296" s="49">
        <v>46015.0</v>
      </c>
      <c r="B296" s="52" t="s">
        <v>346</v>
      </c>
      <c r="C296" s="52" t="s">
        <v>153</v>
      </c>
      <c r="D296" s="52" t="s">
        <v>267</v>
      </c>
      <c r="E296" s="52" t="s">
        <v>616</v>
      </c>
      <c r="F296" s="2"/>
      <c r="G296" s="36">
        <v>-0.5</v>
      </c>
      <c r="H296" s="2"/>
      <c r="I296" s="52" t="s">
        <v>269</v>
      </c>
      <c r="J296" s="2"/>
      <c r="K296" s="2"/>
    </row>
    <row r="297" ht="15.0" customHeight="1">
      <c r="A297" s="49">
        <v>46015.0</v>
      </c>
      <c r="B297" s="52" t="s">
        <v>166</v>
      </c>
      <c r="C297" s="52" t="s">
        <v>26</v>
      </c>
      <c r="D297" s="52" t="s">
        <v>270</v>
      </c>
      <c r="E297" s="52" t="s">
        <v>374</v>
      </c>
      <c r="F297" s="2"/>
      <c r="G297" s="36">
        <v>-130.14</v>
      </c>
      <c r="H297" s="2"/>
      <c r="I297" s="52" t="s">
        <v>272</v>
      </c>
      <c r="J297" s="2"/>
      <c r="K297" s="2"/>
    </row>
    <row r="298" ht="15.0" customHeight="1">
      <c r="A298" s="49">
        <v>46015.0</v>
      </c>
      <c r="B298" s="52" t="s">
        <v>617</v>
      </c>
      <c r="C298" s="52" t="s">
        <v>328</v>
      </c>
      <c r="D298" s="52" t="s">
        <v>270</v>
      </c>
      <c r="E298" s="52" t="s">
        <v>618</v>
      </c>
      <c r="F298" s="2"/>
      <c r="G298" s="36">
        <v>-1143.45</v>
      </c>
      <c r="H298" s="2"/>
      <c r="I298" s="52" t="s">
        <v>272</v>
      </c>
      <c r="J298" s="2"/>
      <c r="K298" s="2"/>
    </row>
    <row r="299" ht="15.0" customHeight="1">
      <c r="A299" s="49">
        <v>46015.0</v>
      </c>
      <c r="B299" s="52" t="s">
        <v>91</v>
      </c>
      <c r="C299" s="52" t="s">
        <v>27</v>
      </c>
      <c r="D299" s="52" t="s">
        <v>270</v>
      </c>
      <c r="E299" s="52" t="s">
        <v>619</v>
      </c>
      <c r="F299" s="2"/>
      <c r="G299" s="36">
        <v>43.56</v>
      </c>
      <c r="H299" s="2"/>
      <c r="I299" s="52" t="s">
        <v>272</v>
      </c>
      <c r="J299" s="2"/>
      <c r="K299" s="2"/>
    </row>
    <row r="300" ht="15.0" customHeight="1">
      <c r="A300" s="49">
        <v>46015.0</v>
      </c>
      <c r="B300" s="52" t="s">
        <v>301</v>
      </c>
      <c r="C300" s="52" t="s">
        <v>289</v>
      </c>
      <c r="D300" s="52" t="s">
        <v>270</v>
      </c>
      <c r="E300" s="52" t="s">
        <v>302</v>
      </c>
      <c r="F300" s="2"/>
      <c r="G300" s="36">
        <v>-540.0</v>
      </c>
      <c r="H300" s="2"/>
      <c r="I300" s="52" t="s">
        <v>272</v>
      </c>
      <c r="J300" s="2"/>
      <c r="K300" s="2"/>
    </row>
    <row r="301" ht="15.0" customHeight="1">
      <c r="A301" s="49">
        <v>46015.0</v>
      </c>
      <c r="B301" s="52" t="s">
        <v>165</v>
      </c>
      <c r="C301" s="52" t="s">
        <v>28</v>
      </c>
      <c r="D301" s="52" t="s">
        <v>273</v>
      </c>
      <c r="E301" s="52" t="s">
        <v>313</v>
      </c>
      <c r="F301" s="2"/>
      <c r="G301" s="36">
        <v>-41.87</v>
      </c>
      <c r="H301" s="2"/>
      <c r="I301" s="52" t="s">
        <v>272</v>
      </c>
      <c r="J301" s="2"/>
      <c r="K301" s="2"/>
    </row>
    <row r="302" ht="15.0" customHeight="1">
      <c r="A302" s="49">
        <v>46014.0</v>
      </c>
      <c r="B302" s="52" t="s">
        <v>165</v>
      </c>
      <c r="C302" s="52" t="s">
        <v>28</v>
      </c>
      <c r="D302" s="52" t="s">
        <v>277</v>
      </c>
      <c r="E302" s="52" t="s">
        <v>313</v>
      </c>
      <c r="F302" s="2"/>
      <c r="G302" s="36">
        <v>-52.24</v>
      </c>
      <c r="H302" s="2"/>
      <c r="I302" s="52" t="s">
        <v>269</v>
      </c>
      <c r="J302" s="2"/>
      <c r="K302" s="2"/>
    </row>
    <row r="303" ht="15.0" customHeight="1">
      <c r="A303" s="49">
        <v>46014.0</v>
      </c>
      <c r="B303" s="52" t="s">
        <v>362</v>
      </c>
      <c r="C303" s="52" t="s">
        <v>162</v>
      </c>
      <c r="D303" s="52" t="s">
        <v>277</v>
      </c>
      <c r="E303" s="52" t="s">
        <v>363</v>
      </c>
      <c r="F303" s="2"/>
      <c r="G303" s="36">
        <v>-12.0</v>
      </c>
      <c r="H303" s="2"/>
      <c r="I303" s="52" t="s">
        <v>269</v>
      </c>
      <c r="J303" s="2"/>
      <c r="K303" s="2"/>
    </row>
    <row r="304" ht="15.0" customHeight="1">
      <c r="A304" s="49">
        <v>46014.0</v>
      </c>
      <c r="B304" s="52" t="s">
        <v>315</v>
      </c>
      <c r="C304" s="52" t="s">
        <v>26</v>
      </c>
      <c r="D304" s="52" t="s">
        <v>277</v>
      </c>
      <c r="E304" s="52" t="s">
        <v>316</v>
      </c>
      <c r="F304" s="2"/>
      <c r="G304" s="36">
        <v>-39.78</v>
      </c>
      <c r="H304" s="2"/>
      <c r="I304" s="52" t="s">
        <v>269</v>
      </c>
      <c r="J304" s="2"/>
      <c r="K304" s="2"/>
    </row>
    <row r="305" ht="15.0" customHeight="1">
      <c r="A305" s="49">
        <v>46014.0</v>
      </c>
      <c r="B305" s="52" t="s">
        <v>620</v>
      </c>
      <c r="C305" s="52" t="s">
        <v>396</v>
      </c>
      <c r="D305" s="52" t="s">
        <v>267</v>
      </c>
      <c r="E305" s="52" t="s">
        <v>621</v>
      </c>
      <c r="F305" s="2"/>
      <c r="G305" s="36">
        <v>-340.3</v>
      </c>
      <c r="H305" s="2"/>
      <c r="I305" s="52" t="s">
        <v>269</v>
      </c>
      <c r="J305" s="2"/>
      <c r="K305" s="2"/>
    </row>
    <row r="306" ht="15.0" customHeight="1">
      <c r="A306" s="49">
        <v>46013.0</v>
      </c>
      <c r="B306" s="52" t="s">
        <v>622</v>
      </c>
      <c r="C306" s="52" t="s">
        <v>152</v>
      </c>
      <c r="D306" s="52" t="s">
        <v>277</v>
      </c>
      <c r="E306" s="52" t="s">
        <v>623</v>
      </c>
      <c r="F306" s="2"/>
      <c r="G306" s="36">
        <v>-42.85</v>
      </c>
      <c r="H306" s="2"/>
      <c r="I306" s="52" t="s">
        <v>269</v>
      </c>
      <c r="J306" s="2"/>
      <c r="K306" s="2"/>
    </row>
    <row r="307" ht="15.0" customHeight="1">
      <c r="A307" s="49">
        <v>46013.0</v>
      </c>
      <c r="B307" s="52" t="s">
        <v>624</v>
      </c>
      <c r="C307" s="52" t="s">
        <v>27</v>
      </c>
      <c r="D307" s="52" t="s">
        <v>267</v>
      </c>
      <c r="E307" s="52" t="s">
        <v>625</v>
      </c>
      <c r="F307" s="2"/>
      <c r="G307" s="36">
        <v>-62.5</v>
      </c>
      <c r="H307" s="2"/>
      <c r="I307" s="52" t="s">
        <v>269</v>
      </c>
      <c r="J307" s="2"/>
      <c r="K307" s="2"/>
    </row>
    <row r="308" ht="15.0" customHeight="1">
      <c r="A308" s="49">
        <v>46013.0</v>
      </c>
      <c r="B308" s="52" t="s">
        <v>91</v>
      </c>
      <c r="C308" s="52" t="s">
        <v>27</v>
      </c>
      <c r="D308" s="52" t="s">
        <v>267</v>
      </c>
      <c r="E308" s="52" t="s">
        <v>626</v>
      </c>
      <c r="F308" s="2"/>
      <c r="G308" s="36">
        <v>-421.18</v>
      </c>
      <c r="H308" s="2"/>
      <c r="I308" s="52" t="s">
        <v>269</v>
      </c>
      <c r="J308" s="2"/>
      <c r="K308" s="2"/>
    </row>
    <row r="309" ht="15.0" customHeight="1">
      <c r="A309" s="49">
        <v>46013.0</v>
      </c>
      <c r="B309" s="52" t="s">
        <v>283</v>
      </c>
      <c r="C309" s="52" t="s">
        <v>154</v>
      </c>
      <c r="D309" s="52" t="s">
        <v>267</v>
      </c>
      <c r="E309" s="52" t="s">
        <v>627</v>
      </c>
      <c r="F309" s="2"/>
      <c r="G309" s="36">
        <v>-56.06</v>
      </c>
      <c r="H309" s="2"/>
      <c r="I309" s="52" t="s">
        <v>269</v>
      </c>
      <c r="J309" s="2"/>
      <c r="K309" s="2"/>
    </row>
    <row r="310" ht="15.0" customHeight="1">
      <c r="A310" s="49">
        <v>46013.0</v>
      </c>
      <c r="B310" s="52" t="s">
        <v>628</v>
      </c>
      <c r="C310" s="52" t="s">
        <v>27</v>
      </c>
      <c r="D310" s="52" t="s">
        <v>267</v>
      </c>
      <c r="E310" s="52" t="s">
        <v>629</v>
      </c>
      <c r="F310" s="2"/>
      <c r="G310" s="36">
        <v>-21.78</v>
      </c>
      <c r="H310" s="2"/>
      <c r="I310" s="52" t="s">
        <v>269</v>
      </c>
      <c r="J310" s="2"/>
      <c r="K310" s="2"/>
    </row>
    <row r="311" ht="15.0" customHeight="1">
      <c r="A311" s="49">
        <v>46013.0</v>
      </c>
      <c r="B311" s="52" t="s">
        <v>166</v>
      </c>
      <c r="C311" s="52" t="s">
        <v>26</v>
      </c>
      <c r="D311" s="52" t="s">
        <v>267</v>
      </c>
      <c r="E311" s="52" t="s">
        <v>630</v>
      </c>
      <c r="F311" s="2"/>
      <c r="G311" s="36">
        <v>-53.45</v>
      </c>
      <c r="H311" s="2"/>
      <c r="I311" s="52" t="s">
        <v>269</v>
      </c>
      <c r="J311" s="2"/>
      <c r="K311" s="2"/>
    </row>
    <row r="312" ht="15.0" customHeight="1">
      <c r="A312" s="49">
        <v>46013.0</v>
      </c>
      <c r="B312" s="52" t="s">
        <v>344</v>
      </c>
      <c r="C312" s="52" t="s">
        <v>153</v>
      </c>
      <c r="D312" s="52" t="s">
        <v>267</v>
      </c>
      <c r="E312" s="52" t="s">
        <v>631</v>
      </c>
      <c r="F312" s="2"/>
      <c r="G312" s="36">
        <v>-29.99</v>
      </c>
      <c r="H312" s="2"/>
      <c r="I312" s="52" t="s">
        <v>269</v>
      </c>
      <c r="J312" s="2"/>
      <c r="K312" s="2"/>
    </row>
    <row r="313" ht="15.0" customHeight="1">
      <c r="A313" s="49">
        <v>46013.0</v>
      </c>
      <c r="B313" s="52" t="s">
        <v>166</v>
      </c>
      <c r="C313" s="52" t="s">
        <v>26</v>
      </c>
      <c r="D313" s="52" t="s">
        <v>270</v>
      </c>
      <c r="E313" s="52" t="s">
        <v>374</v>
      </c>
      <c r="F313" s="2"/>
      <c r="G313" s="36">
        <v>-44.27</v>
      </c>
      <c r="H313" s="2"/>
      <c r="I313" s="52" t="s">
        <v>272</v>
      </c>
      <c r="J313" s="2"/>
      <c r="K313" s="2"/>
    </row>
    <row r="314" ht="15.0" customHeight="1">
      <c r="A314" s="49">
        <v>46013.0</v>
      </c>
      <c r="B314" s="52" t="s">
        <v>319</v>
      </c>
      <c r="C314" s="52" t="s">
        <v>28</v>
      </c>
      <c r="D314" s="52" t="s">
        <v>270</v>
      </c>
      <c r="E314" s="52" t="s">
        <v>457</v>
      </c>
      <c r="F314" s="2"/>
      <c r="G314" s="36">
        <v>-18.22</v>
      </c>
      <c r="H314" s="2"/>
      <c r="I314" s="52" t="s">
        <v>272</v>
      </c>
      <c r="J314" s="2"/>
      <c r="K314" s="2"/>
    </row>
    <row r="315" ht="15.0" customHeight="1">
      <c r="A315" s="49">
        <v>46013.0</v>
      </c>
      <c r="B315" s="52" t="s">
        <v>549</v>
      </c>
      <c r="C315" s="52" t="s">
        <v>153</v>
      </c>
      <c r="D315" s="52" t="s">
        <v>270</v>
      </c>
      <c r="E315" s="52" t="s">
        <v>550</v>
      </c>
      <c r="F315" s="2"/>
      <c r="G315" s="36">
        <v>-2.17</v>
      </c>
      <c r="H315" s="2"/>
      <c r="I315" s="52" t="s">
        <v>272</v>
      </c>
      <c r="J315" s="2"/>
      <c r="K315" s="2"/>
    </row>
    <row r="316" ht="15.0" customHeight="1">
      <c r="A316" s="49">
        <v>46013.0</v>
      </c>
      <c r="B316" s="52" t="s">
        <v>632</v>
      </c>
      <c r="C316" s="52" t="s">
        <v>328</v>
      </c>
      <c r="D316" s="52" t="s">
        <v>270</v>
      </c>
      <c r="E316" s="52" t="s">
        <v>633</v>
      </c>
      <c r="F316" s="2"/>
      <c r="G316" s="36">
        <v>-74.05</v>
      </c>
      <c r="H316" s="2"/>
      <c r="I316" s="52" t="s">
        <v>272</v>
      </c>
      <c r="J316" s="2"/>
      <c r="K316" s="2"/>
    </row>
    <row r="317" ht="15.0" customHeight="1">
      <c r="A317" s="49">
        <v>46013.0</v>
      </c>
      <c r="B317" s="52" t="s">
        <v>549</v>
      </c>
      <c r="C317" s="52" t="s">
        <v>153</v>
      </c>
      <c r="D317" s="52" t="s">
        <v>270</v>
      </c>
      <c r="E317" s="52" t="s">
        <v>550</v>
      </c>
      <c r="F317" s="2"/>
      <c r="G317" s="36">
        <v>-22.3</v>
      </c>
      <c r="H317" s="2"/>
      <c r="I317" s="52" t="s">
        <v>272</v>
      </c>
      <c r="J317" s="2"/>
      <c r="K317" s="2"/>
    </row>
    <row r="318" ht="15.0" customHeight="1">
      <c r="A318" s="49">
        <v>46012.0</v>
      </c>
      <c r="B318" s="52" t="s">
        <v>315</v>
      </c>
      <c r="C318" s="52" t="s">
        <v>26</v>
      </c>
      <c r="D318" s="52" t="s">
        <v>277</v>
      </c>
      <c r="E318" s="52" t="s">
        <v>316</v>
      </c>
      <c r="F318" s="2"/>
      <c r="G318" s="36">
        <v>-41.61</v>
      </c>
      <c r="H318" s="2"/>
      <c r="I318" s="52" t="s">
        <v>269</v>
      </c>
      <c r="J318" s="2"/>
      <c r="K318" s="2"/>
    </row>
    <row r="319" ht="15.0" customHeight="1">
      <c r="A319" s="49">
        <v>46012.0</v>
      </c>
      <c r="B319" s="52" t="s">
        <v>166</v>
      </c>
      <c r="C319" s="52" t="s">
        <v>26</v>
      </c>
      <c r="D319" s="52" t="s">
        <v>270</v>
      </c>
      <c r="E319" s="52" t="s">
        <v>374</v>
      </c>
      <c r="F319" s="2"/>
      <c r="G319" s="36">
        <v>-14.3</v>
      </c>
      <c r="H319" s="2"/>
      <c r="I319" s="52" t="s">
        <v>272</v>
      </c>
      <c r="J319" s="2"/>
      <c r="K319" s="2"/>
    </row>
    <row r="320" ht="15.0" customHeight="1">
      <c r="A320" s="49">
        <v>46011.0</v>
      </c>
      <c r="B320" s="52" t="s">
        <v>166</v>
      </c>
      <c r="C320" s="52" t="s">
        <v>26</v>
      </c>
      <c r="D320" s="52" t="s">
        <v>270</v>
      </c>
      <c r="E320" s="52" t="s">
        <v>374</v>
      </c>
      <c r="F320" s="2"/>
      <c r="G320" s="36">
        <v>-203.07</v>
      </c>
      <c r="H320" s="2"/>
      <c r="I320" s="52" t="s">
        <v>272</v>
      </c>
      <c r="J320" s="2"/>
      <c r="K320" s="2"/>
    </row>
    <row r="321" ht="15.0" customHeight="1">
      <c r="A321" s="49">
        <v>46011.0</v>
      </c>
      <c r="B321" s="52" t="s">
        <v>91</v>
      </c>
      <c r="C321" s="52" t="s">
        <v>27</v>
      </c>
      <c r="D321" s="52" t="s">
        <v>270</v>
      </c>
      <c r="E321" s="52" t="s">
        <v>619</v>
      </c>
      <c r="F321" s="2"/>
      <c r="G321" s="36">
        <v>-43.56</v>
      </c>
      <c r="H321" s="2"/>
      <c r="I321" s="52" t="s">
        <v>272</v>
      </c>
      <c r="J321" s="2"/>
      <c r="K321" s="2"/>
    </row>
    <row r="322" ht="15.0" customHeight="1">
      <c r="A322" s="49">
        <v>46011.0</v>
      </c>
      <c r="B322" s="52" t="s">
        <v>276</v>
      </c>
      <c r="C322" s="52" t="s">
        <v>153</v>
      </c>
      <c r="D322" s="52" t="s">
        <v>270</v>
      </c>
      <c r="E322" s="52" t="s">
        <v>278</v>
      </c>
      <c r="F322" s="2"/>
      <c r="G322" s="36">
        <v>-12.99</v>
      </c>
      <c r="H322" s="2"/>
      <c r="I322" s="52" t="s">
        <v>272</v>
      </c>
      <c r="J322" s="2"/>
      <c r="K322" s="2"/>
    </row>
    <row r="323" ht="15.0" customHeight="1">
      <c r="A323" s="49">
        <v>46011.0</v>
      </c>
      <c r="B323" s="52" t="s">
        <v>634</v>
      </c>
      <c r="C323" s="52" t="s">
        <v>152</v>
      </c>
      <c r="D323" s="52" t="s">
        <v>270</v>
      </c>
      <c r="E323" s="52" t="s">
        <v>635</v>
      </c>
      <c r="F323" s="2"/>
      <c r="G323" s="36">
        <v>-14.16</v>
      </c>
      <c r="H323" s="2"/>
      <c r="I323" s="52" t="s">
        <v>272</v>
      </c>
      <c r="J323" s="2"/>
      <c r="K323" s="2"/>
    </row>
    <row r="324" ht="15.0" customHeight="1">
      <c r="A324" s="49">
        <v>46010.0</v>
      </c>
      <c r="B324" s="52" t="s">
        <v>447</v>
      </c>
      <c r="C324" s="52" t="s">
        <v>437</v>
      </c>
      <c r="D324" s="52" t="s">
        <v>277</v>
      </c>
      <c r="E324" s="52" t="s">
        <v>448</v>
      </c>
      <c r="F324" s="2"/>
      <c r="G324" s="36">
        <v>2813.79</v>
      </c>
      <c r="H324" s="2"/>
      <c r="I324" s="52" t="s">
        <v>269</v>
      </c>
      <c r="J324" s="2"/>
      <c r="K324" s="2"/>
    </row>
    <row r="325" ht="15.0" customHeight="1">
      <c r="A325" s="49">
        <v>46010.0</v>
      </c>
      <c r="B325" s="52" t="s">
        <v>398</v>
      </c>
      <c r="C325" s="52" t="s">
        <v>399</v>
      </c>
      <c r="D325" s="52" t="s">
        <v>277</v>
      </c>
      <c r="E325" s="52" t="s">
        <v>400</v>
      </c>
      <c r="F325" s="2"/>
      <c r="G325" s="36">
        <v>-1116.0</v>
      </c>
      <c r="H325" s="2"/>
      <c r="I325" s="52" t="s">
        <v>269</v>
      </c>
      <c r="J325" s="2"/>
      <c r="K325" s="2"/>
    </row>
    <row r="326" ht="15.0" customHeight="1">
      <c r="A326" s="49">
        <v>46010.0</v>
      </c>
      <c r="B326" s="52" t="s">
        <v>452</v>
      </c>
      <c r="C326" s="52" t="s">
        <v>28</v>
      </c>
      <c r="D326" s="52" t="s">
        <v>277</v>
      </c>
      <c r="E326" s="52" t="s">
        <v>636</v>
      </c>
      <c r="F326" s="2"/>
      <c r="G326" s="36">
        <v>-13.69</v>
      </c>
      <c r="H326" s="2"/>
      <c r="I326" s="52" t="s">
        <v>269</v>
      </c>
      <c r="J326" s="2"/>
      <c r="K326" s="2"/>
    </row>
    <row r="327" ht="15.0" customHeight="1">
      <c r="A327" s="49">
        <v>46010.0</v>
      </c>
      <c r="B327" s="52" t="s">
        <v>335</v>
      </c>
      <c r="C327" s="52" t="s">
        <v>152</v>
      </c>
      <c r="D327" s="52" t="s">
        <v>277</v>
      </c>
      <c r="E327" s="52" t="s">
        <v>637</v>
      </c>
      <c r="F327" s="2"/>
      <c r="G327" s="36">
        <v>-8.5</v>
      </c>
      <c r="H327" s="2"/>
      <c r="I327" s="52" t="s">
        <v>269</v>
      </c>
      <c r="J327" s="2"/>
      <c r="K327" s="2"/>
    </row>
    <row r="328" ht="15.0" customHeight="1">
      <c r="A328" s="49">
        <v>46010.0</v>
      </c>
      <c r="B328" s="52" t="s">
        <v>301</v>
      </c>
      <c r="C328" s="52" t="s">
        <v>437</v>
      </c>
      <c r="D328" s="52" t="s">
        <v>267</v>
      </c>
      <c r="E328" s="52" t="s">
        <v>638</v>
      </c>
      <c r="F328" s="2"/>
      <c r="G328" s="36">
        <v>-2813.79</v>
      </c>
      <c r="H328" s="2"/>
      <c r="I328" s="52" t="s">
        <v>269</v>
      </c>
      <c r="J328" s="2"/>
      <c r="K328" s="2"/>
    </row>
    <row r="329" ht="15.0" customHeight="1">
      <c r="A329" s="49">
        <v>46010.0</v>
      </c>
      <c r="B329" s="52" t="s">
        <v>348</v>
      </c>
      <c r="C329" s="52" t="s">
        <v>349</v>
      </c>
      <c r="D329" s="52" t="s">
        <v>267</v>
      </c>
      <c r="E329" s="52" t="s">
        <v>351</v>
      </c>
      <c r="F329" s="2"/>
      <c r="G329" s="36">
        <v>-169.02</v>
      </c>
      <c r="H329" s="2"/>
      <c r="I329" s="52" t="s">
        <v>269</v>
      </c>
      <c r="J329" s="2"/>
      <c r="K329" s="2"/>
    </row>
    <row r="330" ht="15.0" customHeight="1">
      <c r="A330" s="49">
        <v>46010.0</v>
      </c>
      <c r="B330" s="52" t="s">
        <v>411</v>
      </c>
      <c r="C330" s="52" t="s">
        <v>412</v>
      </c>
      <c r="D330" s="52" t="s">
        <v>267</v>
      </c>
      <c r="E330" s="52" t="s">
        <v>639</v>
      </c>
      <c r="F330" s="2"/>
      <c r="G330" s="36">
        <v>4072.37</v>
      </c>
      <c r="H330" s="2"/>
      <c r="I330" s="52" t="s">
        <v>269</v>
      </c>
      <c r="J330" s="2"/>
      <c r="K330" s="2"/>
    </row>
    <row r="331" ht="15.0" customHeight="1">
      <c r="A331" s="49">
        <v>46010.0</v>
      </c>
      <c r="B331" s="52" t="s">
        <v>640</v>
      </c>
      <c r="C331" s="52" t="s">
        <v>27</v>
      </c>
      <c r="D331" s="52" t="s">
        <v>270</v>
      </c>
      <c r="E331" s="52" t="s">
        <v>641</v>
      </c>
      <c r="F331" s="2"/>
      <c r="G331" s="36">
        <v>-177.49</v>
      </c>
      <c r="H331" s="2"/>
      <c r="I331" s="52" t="s">
        <v>272</v>
      </c>
      <c r="J331" s="2"/>
      <c r="K331" s="2"/>
    </row>
    <row r="332" ht="15.0" customHeight="1">
      <c r="A332" s="49">
        <v>46009.0</v>
      </c>
      <c r="B332" s="52" t="s">
        <v>449</v>
      </c>
      <c r="C332" s="52" t="s">
        <v>450</v>
      </c>
      <c r="D332" s="52" t="s">
        <v>277</v>
      </c>
      <c r="E332" s="52" t="s">
        <v>451</v>
      </c>
      <c r="F332" s="2"/>
      <c r="G332" s="36">
        <v>-21.3</v>
      </c>
      <c r="H332" s="2"/>
      <c r="I332" s="52" t="s">
        <v>269</v>
      </c>
      <c r="J332" s="2"/>
      <c r="K332" s="2"/>
    </row>
    <row r="333" ht="15.0" customHeight="1">
      <c r="A333" s="49">
        <v>46009.0</v>
      </c>
      <c r="B333" s="52" t="s">
        <v>164</v>
      </c>
      <c r="C333" s="52" t="s">
        <v>27</v>
      </c>
      <c r="D333" s="52" t="s">
        <v>277</v>
      </c>
      <c r="E333" s="52" t="s">
        <v>364</v>
      </c>
      <c r="F333" s="2"/>
      <c r="G333" s="36">
        <v>-29.48</v>
      </c>
      <c r="H333" s="2"/>
      <c r="I333" s="52" t="s">
        <v>269</v>
      </c>
      <c r="J333" s="2"/>
      <c r="K333" s="2"/>
    </row>
    <row r="334" ht="15.0" customHeight="1">
      <c r="A334" s="49">
        <v>46009.0</v>
      </c>
      <c r="B334" s="52" t="s">
        <v>642</v>
      </c>
      <c r="C334" s="52" t="s">
        <v>154</v>
      </c>
      <c r="D334" s="52" t="s">
        <v>267</v>
      </c>
      <c r="E334" s="52" t="s">
        <v>643</v>
      </c>
      <c r="F334" s="2"/>
      <c r="G334" s="36">
        <v>-652.99</v>
      </c>
      <c r="H334" s="2"/>
      <c r="I334" s="52" t="s">
        <v>269</v>
      </c>
      <c r="J334" s="2"/>
      <c r="K334" s="2"/>
    </row>
    <row r="335" ht="15.0" customHeight="1">
      <c r="A335" s="49">
        <v>46009.0</v>
      </c>
      <c r="B335" s="52" t="s">
        <v>644</v>
      </c>
      <c r="C335" s="52" t="s">
        <v>154</v>
      </c>
      <c r="D335" s="52" t="s">
        <v>267</v>
      </c>
      <c r="E335" s="52" t="s">
        <v>645</v>
      </c>
      <c r="F335" s="2"/>
      <c r="G335" s="36">
        <v>-100.0</v>
      </c>
      <c r="H335" s="2"/>
      <c r="I335" s="52" t="s">
        <v>269</v>
      </c>
      <c r="J335" s="2"/>
      <c r="K335" s="2"/>
    </row>
    <row r="336" ht="15.0" customHeight="1">
      <c r="A336" s="49">
        <v>46009.0</v>
      </c>
      <c r="B336" s="52" t="s">
        <v>333</v>
      </c>
      <c r="C336" s="52" t="s">
        <v>158</v>
      </c>
      <c r="D336" s="52" t="s">
        <v>267</v>
      </c>
      <c r="E336" s="52" t="s">
        <v>646</v>
      </c>
      <c r="F336" s="2"/>
      <c r="G336" s="36">
        <v>-75.0</v>
      </c>
      <c r="H336" s="2"/>
      <c r="I336" s="52" t="s">
        <v>269</v>
      </c>
      <c r="J336" s="2"/>
      <c r="K336" s="2"/>
    </row>
    <row r="337" ht="15.0" customHeight="1">
      <c r="A337" s="49">
        <v>46009.0</v>
      </c>
      <c r="B337" s="52" t="s">
        <v>348</v>
      </c>
      <c r="C337" s="52" t="s">
        <v>349</v>
      </c>
      <c r="D337" s="52" t="s">
        <v>267</v>
      </c>
      <c r="E337" s="52" t="s">
        <v>350</v>
      </c>
      <c r="F337" s="2"/>
      <c r="G337" s="36">
        <v>-22.19</v>
      </c>
      <c r="H337" s="2"/>
      <c r="I337" s="52" t="s">
        <v>269</v>
      </c>
      <c r="J337" s="2"/>
      <c r="K337" s="2"/>
    </row>
    <row r="338" ht="15.0" customHeight="1">
      <c r="A338" s="49">
        <v>46009.0</v>
      </c>
      <c r="B338" s="52" t="s">
        <v>647</v>
      </c>
      <c r="C338" s="52" t="s">
        <v>157</v>
      </c>
      <c r="D338" s="52" t="s">
        <v>270</v>
      </c>
      <c r="E338" s="52" t="s">
        <v>648</v>
      </c>
      <c r="F338" s="2"/>
      <c r="G338" s="36">
        <v>-46.52</v>
      </c>
      <c r="H338" s="2"/>
      <c r="I338" s="52" t="s">
        <v>272</v>
      </c>
      <c r="J338" s="2"/>
      <c r="K338" s="2"/>
    </row>
    <row r="339" ht="15.0" customHeight="1">
      <c r="A339" s="49">
        <v>46009.0</v>
      </c>
      <c r="B339" s="52" t="s">
        <v>647</v>
      </c>
      <c r="C339" s="52" t="s">
        <v>157</v>
      </c>
      <c r="D339" s="52" t="s">
        <v>270</v>
      </c>
      <c r="E339" s="52" t="s">
        <v>648</v>
      </c>
      <c r="F339" s="2"/>
      <c r="G339" s="36">
        <v>-24.48</v>
      </c>
      <c r="H339" s="2"/>
      <c r="I339" s="52" t="s">
        <v>272</v>
      </c>
      <c r="J339" s="2"/>
      <c r="K339" s="2"/>
    </row>
    <row r="340" ht="15.0" customHeight="1">
      <c r="A340" s="49">
        <v>46009.0</v>
      </c>
      <c r="B340" s="52" t="s">
        <v>386</v>
      </c>
      <c r="C340" s="52" t="s">
        <v>387</v>
      </c>
      <c r="D340" s="52" t="s">
        <v>270</v>
      </c>
      <c r="E340" s="52" t="s">
        <v>388</v>
      </c>
      <c r="F340" s="2"/>
      <c r="G340" s="36">
        <v>-1.99</v>
      </c>
      <c r="H340" s="2"/>
      <c r="I340" s="52" t="s">
        <v>272</v>
      </c>
      <c r="J340" s="2"/>
      <c r="K340" s="2"/>
    </row>
    <row r="341" ht="15.0" customHeight="1">
      <c r="A341" s="49">
        <v>46009.0</v>
      </c>
      <c r="B341" s="52" t="s">
        <v>640</v>
      </c>
      <c r="C341" s="52" t="s">
        <v>27</v>
      </c>
      <c r="D341" s="52" t="s">
        <v>270</v>
      </c>
      <c r="E341" s="52" t="s">
        <v>641</v>
      </c>
      <c r="F341" s="2"/>
      <c r="G341" s="36">
        <v>-39.21</v>
      </c>
      <c r="H341" s="2"/>
      <c r="I341" s="52" t="s">
        <v>272</v>
      </c>
      <c r="J341" s="2"/>
      <c r="K341" s="2"/>
    </row>
    <row r="342" ht="15.0" customHeight="1">
      <c r="A342" s="49">
        <v>46009.0</v>
      </c>
      <c r="B342" s="52" t="s">
        <v>166</v>
      </c>
      <c r="C342" s="52" t="s">
        <v>26</v>
      </c>
      <c r="D342" s="52" t="s">
        <v>270</v>
      </c>
      <c r="E342" s="52" t="s">
        <v>374</v>
      </c>
      <c r="F342" s="2"/>
      <c r="G342" s="36">
        <v>-28.22</v>
      </c>
      <c r="H342" s="2"/>
      <c r="I342" s="52" t="s">
        <v>272</v>
      </c>
      <c r="J342" s="2"/>
      <c r="K342" s="2"/>
    </row>
    <row r="343" ht="15.0" customHeight="1">
      <c r="A343" s="49">
        <v>46009.0</v>
      </c>
      <c r="B343" s="52" t="s">
        <v>649</v>
      </c>
      <c r="C343" s="52" t="s">
        <v>328</v>
      </c>
      <c r="D343" s="52" t="s">
        <v>270</v>
      </c>
      <c r="E343" s="52" t="s">
        <v>650</v>
      </c>
      <c r="F343" s="2"/>
      <c r="G343" s="36">
        <v>-130.66</v>
      </c>
      <c r="H343" s="2"/>
      <c r="I343" s="52" t="s">
        <v>272</v>
      </c>
      <c r="J343" s="2"/>
      <c r="K343" s="2"/>
    </row>
    <row r="344" ht="15.0" customHeight="1">
      <c r="A344" s="49">
        <v>46009.0</v>
      </c>
      <c r="B344" s="52" t="s">
        <v>649</v>
      </c>
      <c r="C344" s="52" t="s">
        <v>328</v>
      </c>
      <c r="D344" s="52" t="s">
        <v>270</v>
      </c>
      <c r="E344" s="52" t="s">
        <v>650</v>
      </c>
      <c r="F344" s="2"/>
      <c r="G344" s="36">
        <v>-39.18</v>
      </c>
      <c r="H344" s="2"/>
      <c r="I344" s="52" t="s">
        <v>272</v>
      </c>
      <c r="J344" s="2"/>
      <c r="K344" s="2"/>
    </row>
    <row r="345" ht="15.0" customHeight="1">
      <c r="A345" s="49">
        <v>46009.0</v>
      </c>
      <c r="B345" s="52" t="s">
        <v>164</v>
      </c>
      <c r="C345" s="52" t="s">
        <v>27</v>
      </c>
      <c r="D345" s="52" t="s">
        <v>273</v>
      </c>
      <c r="E345" s="52" t="s">
        <v>364</v>
      </c>
      <c r="F345" s="2"/>
      <c r="G345" s="36">
        <v>-68.6</v>
      </c>
      <c r="H345" s="2"/>
      <c r="I345" s="52" t="s">
        <v>272</v>
      </c>
      <c r="J345" s="2"/>
      <c r="K345" s="2"/>
    </row>
    <row r="346" ht="15.0" customHeight="1">
      <c r="A346" s="49">
        <v>46009.0</v>
      </c>
      <c r="B346" s="52" t="s">
        <v>651</v>
      </c>
      <c r="C346" s="52" t="s">
        <v>154</v>
      </c>
      <c r="D346" s="52" t="s">
        <v>270</v>
      </c>
      <c r="E346" s="52" t="s">
        <v>652</v>
      </c>
      <c r="F346" s="2"/>
      <c r="G346" s="36">
        <v>-15.0</v>
      </c>
      <c r="H346" s="2"/>
      <c r="I346" s="52" t="s">
        <v>272</v>
      </c>
      <c r="J346" s="2"/>
      <c r="K346" s="2"/>
    </row>
    <row r="347" ht="15.0" customHeight="1">
      <c r="A347" s="49">
        <v>46008.0</v>
      </c>
      <c r="B347" s="52" t="s">
        <v>165</v>
      </c>
      <c r="C347" s="52" t="s">
        <v>28</v>
      </c>
      <c r="D347" s="52" t="s">
        <v>277</v>
      </c>
      <c r="E347" s="52" t="s">
        <v>314</v>
      </c>
      <c r="F347" s="2"/>
      <c r="G347" s="36">
        <v>-65.49</v>
      </c>
      <c r="H347" s="2"/>
      <c r="I347" s="52" t="s">
        <v>269</v>
      </c>
      <c r="J347" s="2"/>
      <c r="K347" s="2"/>
    </row>
    <row r="348" ht="15.0" customHeight="1">
      <c r="A348" s="49">
        <v>46008.0</v>
      </c>
      <c r="B348" s="52" t="s">
        <v>381</v>
      </c>
      <c r="C348" s="52" t="s">
        <v>156</v>
      </c>
      <c r="D348" s="52" t="s">
        <v>277</v>
      </c>
      <c r="E348" s="52" t="s">
        <v>382</v>
      </c>
      <c r="F348" s="2"/>
      <c r="G348" s="36">
        <v>-106.72</v>
      </c>
      <c r="H348" s="2"/>
      <c r="I348" s="52" t="s">
        <v>269</v>
      </c>
      <c r="J348" s="2"/>
      <c r="K348" s="2"/>
    </row>
    <row r="349" ht="15.0" customHeight="1">
      <c r="A349" s="49">
        <v>46008.0</v>
      </c>
      <c r="B349" s="52" t="s">
        <v>653</v>
      </c>
      <c r="C349" s="52" t="s">
        <v>654</v>
      </c>
      <c r="D349" s="52" t="s">
        <v>270</v>
      </c>
      <c r="E349" s="52" t="s">
        <v>655</v>
      </c>
      <c r="F349" s="2"/>
      <c r="G349" s="36">
        <v>-100.0</v>
      </c>
      <c r="H349" s="2"/>
      <c r="I349" s="52" t="s">
        <v>272</v>
      </c>
      <c r="J349" s="2"/>
      <c r="K349" s="2"/>
    </row>
    <row r="350" ht="15.0" customHeight="1">
      <c r="A350" s="49">
        <v>46008.0</v>
      </c>
      <c r="B350" s="52" t="s">
        <v>171</v>
      </c>
      <c r="C350" s="52" t="s">
        <v>26</v>
      </c>
      <c r="D350" s="52" t="s">
        <v>270</v>
      </c>
      <c r="E350" s="52" t="s">
        <v>439</v>
      </c>
      <c r="F350" s="2"/>
      <c r="G350" s="36">
        <v>-19.93</v>
      </c>
      <c r="H350" s="2"/>
      <c r="I350" s="52" t="s">
        <v>272</v>
      </c>
      <c r="J350" s="2"/>
      <c r="K350" s="2"/>
    </row>
    <row r="351" ht="15.0" customHeight="1">
      <c r="A351" s="49">
        <v>46008.0</v>
      </c>
      <c r="B351" s="52" t="s">
        <v>283</v>
      </c>
      <c r="C351" s="52" t="s">
        <v>154</v>
      </c>
      <c r="D351" s="52" t="s">
        <v>270</v>
      </c>
      <c r="E351" s="52" t="s">
        <v>298</v>
      </c>
      <c r="F351" s="2"/>
      <c r="G351" s="36">
        <v>-32.31</v>
      </c>
      <c r="H351" s="2"/>
      <c r="I351" s="52" t="s">
        <v>272</v>
      </c>
      <c r="J351" s="2"/>
      <c r="K351" s="2"/>
    </row>
    <row r="352" ht="15.0" customHeight="1">
      <c r="A352" s="49">
        <v>46008.0</v>
      </c>
      <c r="B352" s="52" t="s">
        <v>656</v>
      </c>
      <c r="C352" s="52" t="s">
        <v>28</v>
      </c>
      <c r="D352" s="52" t="s">
        <v>273</v>
      </c>
      <c r="E352" s="52" t="s">
        <v>657</v>
      </c>
      <c r="F352" s="2"/>
      <c r="G352" s="36">
        <v>-118.8</v>
      </c>
      <c r="H352" s="2"/>
      <c r="I352" s="52" t="s">
        <v>272</v>
      </c>
      <c r="J352" s="2"/>
      <c r="K352" s="2"/>
    </row>
    <row r="353" ht="15.0" customHeight="1">
      <c r="A353" s="49">
        <v>46007.0</v>
      </c>
      <c r="B353" s="52" t="s">
        <v>164</v>
      </c>
      <c r="C353" s="52" t="s">
        <v>27</v>
      </c>
      <c r="D353" s="52" t="s">
        <v>277</v>
      </c>
      <c r="E353" s="52" t="s">
        <v>274</v>
      </c>
      <c r="F353" s="2"/>
      <c r="G353" s="36">
        <v>-32.33</v>
      </c>
      <c r="H353" s="2"/>
      <c r="I353" s="52" t="s">
        <v>269</v>
      </c>
      <c r="J353" s="2"/>
      <c r="K353" s="2"/>
    </row>
    <row r="354" ht="15.0" customHeight="1">
      <c r="A354" s="49">
        <v>46007.0</v>
      </c>
      <c r="B354" s="52" t="s">
        <v>414</v>
      </c>
      <c r="C354" s="52" t="s">
        <v>160</v>
      </c>
      <c r="D354" s="52" t="s">
        <v>267</v>
      </c>
      <c r="E354" s="52" t="s">
        <v>658</v>
      </c>
      <c r="F354" s="2"/>
      <c r="G354" s="36">
        <v>-38.99</v>
      </c>
      <c r="H354" s="2"/>
      <c r="I354" s="52" t="s">
        <v>269</v>
      </c>
      <c r="J354" s="2"/>
      <c r="K354" s="2"/>
    </row>
    <row r="355" ht="15.0" customHeight="1">
      <c r="A355" s="49">
        <v>46007.0</v>
      </c>
      <c r="B355" s="52" t="s">
        <v>452</v>
      </c>
      <c r="C355" s="52" t="s">
        <v>28</v>
      </c>
      <c r="D355" s="52" t="s">
        <v>270</v>
      </c>
      <c r="E355" s="52" t="s">
        <v>636</v>
      </c>
      <c r="F355" s="2"/>
      <c r="G355" s="36">
        <v>-16.49</v>
      </c>
      <c r="H355" s="2"/>
      <c r="I355" s="52" t="s">
        <v>272</v>
      </c>
      <c r="J355" s="2"/>
      <c r="K355" s="2"/>
    </row>
    <row r="356" ht="15.0" customHeight="1">
      <c r="A356" s="49">
        <v>46007.0</v>
      </c>
      <c r="B356" s="52" t="s">
        <v>166</v>
      </c>
      <c r="C356" s="52" t="s">
        <v>26</v>
      </c>
      <c r="D356" s="52" t="s">
        <v>270</v>
      </c>
      <c r="E356" s="52" t="s">
        <v>374</v>
      </c>
      <c r="F356" s="2"/>
      <c r="G356" s="36">
        <v>-110.5</v>
      </c>
      <c r="H356" s="2"/>
      <c r="I356" s="52" t="s">
        <v>272</v>
      </c>
      <c r="J356" s="2"/>
      <c r="K356" s="2"/>
    </row>
    <row r="357" ht="15.0" customHeight="1">
      <c r="A357" s="49">
        <v>46007.0</v>
      </c>
      <c r="B357" s="52" t="s">
        <v>659</v>
      </c>
      <c r="C357" s="52" t="s">
        <v>328</v>
      </c>
      <c r="D357" s="52" t="s">
        <v>270</v>
      </c>
      <c r="E357" s="52" t="s">
        <v>660</v>
      </c>
      <c r="F357" s="2"/>
      <c r="G357" s="36">
        <v>-29.38</v>
      </c>
      <c r="H357" s="2"/>
      <c r="I357" s="52" t="s">
        <v>272</v>
      </c>
      <c r="J357" s="2"/>
      <c r="K357" s="2"/>
    </row>
    <row r="358" ht="15.0" customHeight="1">
      <c r="A358" s="49">
        <v>46007.0</v>
      </c>
      <c r="B358" s="52" t="s">
        <v>301</v>
      </c>
      <c r="C358" s="52" t="s">
        <v>289</v>
      </c>
      <c r="D358" s="52" t="s">
        <v>270</v>
      </c>
      <c r="E358" s="52" t="s">
        <v>302</v>
      </c>
      <c r="F358" s="2"/>
      <c r="G358" s="36">
        <v>-250.0</v>
      </c>
      <c r="H358" s="2"/>
      <c r="I358" s="52" t="s">
        <v>272</v>
      </c>
      <c r="J358" s="2"/>
      <c r="K358" s="2"/>
    </row>
    <row r="359" ht="15.0" customHeight="1">
      <c r="A359" s="49">
        <v>46007.0</v>
      </c>
      <c r="B359" s="52" t="s">
        <v>164</v>
      </c>
      <c r="C359" s="52" t="s">
        <v>27</v>
      </c>
      <c r="D359" s="52" t="s">
        <v>273</v>
      </c>
      <c r="E359" s="52" t="s">
        <v>274</v>
      </c>
      <c r="F359" s="2"/>
      <c r="G359" s="36">
        <v>36.2</v>
      </c>
      <c r="H359" s="2"/>
      <c r="I359" s="52" t="s">
        <v>272</v>
      </c>
      <c r="J359" s="2"/>
      <c r="K359" s="2"/>
    </row>
    <row r="360" ht="15.0" customHeight="1">
      <c r="A360" s="49">
        <v>46007.0</v>
      </c>
      <c r="B360" s="52" t="s">
        <v>409</v>
      </c>
      <c r="C360" s="52" t="s">
        <v>155</v>
      </c>
      <c r="D360" s="52" t="s">
        <v>296</v>
      </c>
      <c r="E360" s="52" t="s">
        <v>410</v>
      </c>
      <c r="F360" s="2"/>
      <c r="G360" s="36">
        <v>-20.0</v>
      </c>
      <c r="H360" s="2"/>
      <c r="I360" s="52" t="s">
        <v>272</v>
      </c>
      <c r="J360" s="2"/>
      <c r="K360" s="2"/>
    </row>
    <row r="361" ht="15.0" customHeight="1">
      <c r="A361" s="49">
        <v>46007.0</v>
      </c>
      <c r="B361" s="52" t="s">
        <v>661</v>
      </c>
      <c r="C361" s="52" t="s">
        <v>563</v>
      </c>
      <c r="D361" s="52" t="s">
        <v>309</v>
      </c>
      <c r="E361" s="52" t="s">
        <v>662</v>
      </c>
      <c r="F361" s="2"/>
      <c r="G361" s="36">
        <v>0.01</v>
      </c>
      <c r="H361" s="2"/>
      <c r="I361" s="52" t="s">
        <v>272</v>
      </c>
      <c r="J361" s="2"/>
      <c r="K361" s="2"/>
    </row>
    <row r="362" ht="15.0" customHeight="1">
      <c r="A362" s="49">
        <v>46006.0</v>
      </c>
      <c r="B362" s="52" t="s">
        <v>165</v>
      </c>
      <c r="C362" s="52" t="s">
        <v>28</v>
      </c>
      <c r="D362" s="52" t="s">
        <v>277</v>
      </c>
      <c r="E362" s="52" t="s">
        <v>313</v>
      </c>
      <c r="F362" s="2"/>
      <c r="G362" s="36">
        <v>-26.33</v>
      </c>
      <c r="H362" s="2"/>
      <c r="I362" s="52" t="s">
        <v>269</v>
      </c>
      <c r="J362" s="2"/>
      <c r="K362" s="2"/>
    </row>
    <row r="363" ht="15.0" customHeight="1">
      <c r="A363" s="49">
        <v>46006.0</v>
      </c>
      <c r="B363" s="52" t="s">
        <v>165</v>
      </c>
      <c r="C363" s="52" t="s">
        <v>28</v>
      </c>
      <c r="D363" s="52" t="s">
        <v>277</v>
      </c>
      <c r="E363" s="52" t="s">
        <v>314</v>
      </c>
      <c r="F363" s="2"/>
      <c r="G363" s="36">
        <v>-4.51</v>
      </c>
      <c r="H363" s="2"/>
      <c r="I363" s="52" t="s">
        <v>269</v>
      </c>
      <c r="J363" s="2"/>
      <c r="K363" s="2"/>
    </row>
    <row r="364" ht="15.0" customHeight="1">
      <c r="A364" s="49">
        <v>46006.0</v>
      </c>
      <c r="B364" s="52" t="s">
        <v>663</v>
      </c>
      <c r="C364" s="52" t="s">
        <v>28</v>
      </c>
      <c r="D364" s="52" t="s">
        <v>267</v>
      </c>
      <c r="E364" s="52" t="s">
        <v>664</v>
      </c>
      <c r="F364" s="2"/>
      <c r="G364" s="36">
        <v>-18.05</v>
      </c>
      <c r="H364" s="2"/>
      <c r="I364" s="52" t="s">
        <v>269</v>
      </c>
      <c r="J364" s="2"/>
      <c r="K364" s="2"/>
    </row>
    <row r="365" ht="15.0" customHeight="1">
      <c r="A365" s="49">
        <v>46006.0</v>
      </c>
      <c r="B365" s="52" t="s">
        <v>442</v>
      </c>
      <c r="C365" s="52" t="s">
        <v>159</v>
      </c>
      <c r="D365" s="52" t="s">
        <v>267</v>
      </c>
      <c r="E365" s="52" t="s">
        <v>665</v>
      </c>
      <c r="F365" s="2"/>
      <c r="G365" s="36">
        <v>-140.0</v>
      </c>
      <c r="H365" s="2"/>
      <c r="I365" s="52" t="s">
        <v>269</v>
      </c>
      <c r="J365" s="2"/>
      <c r="K365" s="2"/>
    </row>
    <row r="366" ht="15.0" customHeight="1">
      <c r="A366" s="49">
        <v>46006.0</v>
      </c>
      <c r="B366" s="52" t="s">
        <v>344</v>
      </c>
      <c r="C366" s="52" t="s">
        <v>153</v>
      </c>
      <c r="D366" s="52" t="s">
        <v>267</v>
      </c>
      <c r="E366" s="52" t="s">
        <v>666</v>
      </c>
      <c r="F366" s="2"/>
      <c r="G366" s="36">
        <v>-4.99</v>
      </c>
      <c r="H366" s="2"/>
      <c r="I366" s="52" t="s">
        <v>269</v>
      </c>
      <c r="J366" s="2"/>
      <c r="K366" s="2"/>
    </row>
    <row r="367" ht="15.0" customHeight="1">
      <c r="A367" s="49">
        <v>46006.0</v>
      </c>
      <c r="B367" s="52" t="s">
        <v>91</v>
      </c>
      <c r="C367" s="52" t="s">
        <v>27</v>
      </c>
      <c r="D367" s="52" t="s">
        <v>267</v>
      </c>
      <c r="E367" s="52" t="s">
        <v>667</v>
      </c>
      <c r="F367" s="2"/>
      <c r="G367" s="36">
        <v>-38.12</v>
      </c>
      <c r="H367" s="2"/>
      <c r="I367" s="52" t="s">
        <v>269</v>
      </c>
      <c r="J367" s="2"/>
      <c r="K367" s="2"/>
    </row>
    <row r="368" ht="15.0" customHeight="1">
      <c r="A368" s="49">
        <v>46006.0</v>
      </c>
      <c r="B368" s="52" t="s">
        <v>411</v>
      </c>
      <c r="C368" s="52" t="s">
        <v>412</v>
      </c>
      <c r="D368" s="52" t="s">
        <v>267</v>
      </c>
      <c r="E368" s="52" t="s">
        <v>668</v>
      </c>
      <c r="F368" s="2"/>
      <c r="G368" s="36">
        <v>24965.08</v>
      </c>
      <c r="H368" s="2"/>
      <c r="I368" s="52" t="s">
        <v>269</v>
      </c>
      <c r="J368" s="2"/>
      <c r="K368" s="2"/>
    </row>
    <row r="369" ht="15.0" customHeight="1">
      <c r="A369" s="49">
        <v>46006.0</v>
      </c>
      <c r="B369" s="52" t="s">
        <v>634</v>
      </c>
      <c r="C369" s="52" t="s">
        <v>152</v>
      </c>
      <c r="D369" s="52" t="s">
        <v>270</v>
      </c>
      <c r="E369" s="52" t="s">
        <v>669</v>
      </c>
      <c r="F369" s="2"/>
      <c r="G369" s="36">
        <v>-57.27</v>
      </c>
      <c r="H369" s="2"/>
      <c r="I369" s="52" t="s">
        <v>272</v>
      </c>
      <c r="J369" s="2"/>
      <c r="K369" s="2"/>
    </row>
    <row r="370" ht="15.0" customHeight="1">
      <c r="A370" s="49">
        <v>46006.0</v>
      </c>
      <c r="B370" s="52" t="s">
        <v>164</v>
      </c>
      <c r="C370" s="52" t="s">
        <v>27</v>
      </c>
      <c r="D370" s="52" t="s">
        <v>273</v>
      </c>
      <c r="E370" s="52" t="s">
        <v>274</v>
      </c>
      <c r="F370" s="2"/>
      <c r="G370" s="36">
        <v>-39.15</v>
      </c>
      <c r="H370" s="2"/>
      <c r="I370" s="52" t="s">
        <v>272</v>
      </c>
      <c r="J370" s="2"/>
      <c r="K370" s="2"/>
    </row>
    <row r="371" ht="15.0" customHeight="1">
      <c r="A371" s="49">
        <v>46006.0</v>
      </c>
      <c r="B371" s="52" t="s">
        <v>164</v>
      </c>
      <c r="C371" s="52" t="s">
        <v>27</v>
      </c>
      <c r="D371" s="52" t="s">
        <v>273</v>
      </c>
      <c r="E371" s="52" t="s">
        <v>274</v>
      </c>
      <c r="F371" s="2"/>
      <c r="G371" s="36">
        <v>5.43</v>
      </c>
      <c r="H371" s="2"/>
      <c r="I371" s="52" t="s">
        <v>272</v>
      </c>
      <c r="J371" s="2"/>
      <c r="K371" s="2"/>
    </row>
    <row r="372" ht="15.0" customHeight="1">
      <c r="A372" s="49">
        <v>46006.0</v>
      </c>
      <c r="B372" s="52" t="s">
        <v>164</v>
      </c>
      <c r="C372" s="52" t="s">
        <v>27</v>
      </c>
      <c r="D372" s="52" t="s">
        <v>273</v>
      </c>
      <c r="E372" s="52" t="s">
        <v>274</v>
      </c>
      <c r="F372" s="2"/>
      <c r="G372" s="36">
        <v>-41.63</v>
      </c>
      <c r="H372" s="2"/>
      <c r="I372" s="52" t="s">
        <v>272</v>
      </c>
      <c r="J372" s="2"/>
      <c r="K372" s="2"/>
    </row>
    <row r="373" ht="15.0" customHeight="1">
      <c r="A373" s="49">
        <v>46005.0</v>
      </c>
      <c r="B373" s="52" t="s">
        <v>670</v>
      </c>
      <c r="C373" s="52" t="s">
        <v>152</v>
      </c>
      <c r="D373" s="52" t="s">
        <v>277</v>
      </c>
      <c r="E373" s="52" t="s">
        <v>671</v>
      </c>
      <c r="F373" s="2"/>
      <c r="G373" s="36">
        <v>-19.23</v>
      </c>
      <c r="H373" s="2"/>
      <c r="I373" s="52" t="s">
        <v>269</v>
      </c>
      <c r="J373" s="2"/>
      <c r="K373" s="2"/>
    </row>
    <row r="374" ht="15.0" customHeight="1">
      <c r="A374" s="49">
        <v>46005.0</v>
      </c>
      <c r="B374" s="52" t="s">
        <v>165</v>
      </c>
      <c r="C374" s="52" t="s">
        <v>28</v>
      </c>
      <c r="D374" s="52" t="s">
        <v>277</v>
      </c>
      <c r="E374" s="52" t="s">
        <v>314</v>
      </c>
      <c r="F374" s="2"/>
      <c r="G374" s="36">
        <v>-21.62</v>
      </c>
      <c r="H374" s="2"/>
      <c r="I374" s="52" t="s">
        <v>269</v>
      </c>
      <c r="J374" s="2"/>
      <c r="K374" s="2"/>
    </row>
    <row r="375" ht="15.0" customHeight="1">
      <c r="A375" s="49">
        <v>46005.0</v>
      </c>
      <c r="B375" s="52" t="s">
        <v>452</v>
      </c>
      <c r="C375" s="52" t="s">
        <v>28</v>
      </c>
      <c r="D375" s="52" t="s">
        <v>277</v>
      </c>
      <c r="E375" s="52" t="s">
        <v>672</v>
      </c>
      <c r="F375" s="2"/>
      <c r="G375" s="36">
        <v>-28.82</v>
      </c>
      <c r="H375" s="2"/>
      <c r="I375" s="52" t="s">
        <v>269</v>
      </c>
      <c r="J375" s="2"/>
      <c r="K375" s="2"/>
    </row>
    <row r="376" ht="15.0" customHeight="1">
      <c r="A376" s="49">
        <v>46005.0</v>
      </c>
      <c r="B376" s="52" t="s">
        <v>452</v>
      </c>
      <c r="C376" s="52" t="s">
        <v>28</v>
      </c>
      <c r="D376" s="52" t="s">
        <v>277</v>
      </c>
      <c r="E376" s="52" t="s">
        <v>672</v>
      </c>
      <c r="F376" s="2"/>
      <c r="G376" s="36">
        <v>-5.11</v>
      </c>
      <c r="H376" s="2"/>
      <c r="I376" s="52" t="s">
        <v>269</v>
      </c>
      <c r="J376" s="2"/>
      <c r="K376" s="2"/>
    </row>
    <row r="377" ht="15.0" customHeight="1">
      <c r="A377" s="49">
        <v>46005.0</v>
      </c>
      <c r="B377" s="52" t="s">
        <v>622</v>
      </c>
      <c r="C377" s="52" t="s">
        <v>152</v>
      </c>
      <c r="D377" s="52" t="s">
        <v>277</v>
      </c>
      <c r="E377" s="52" t="s">
        <v>673</v>
      </c>
      <c r="F377" s="2"/>
      <c r="G377" s="36">
        <v>-39.06</v>
      </c>
      <c r="H377" s="2"/>
      <c r="I377" s="52" t="s">
        <v>269</v>
      </c>
      <c r="J377" s="2"/>
      <c r="K377" s="2"/>
    </row>
    <row r="378" ht="15.0" customHeight="1">
      <c r="A378" s="49">
        <v>46005.0</v>
      </c>
      <c r="B378" s="52" t="s">
        <v>674</v>
      </c>
      <c r="C378" s="52" t="s">
        <v>675</v>
      </c>
      <c r="D378" s="52" t="s">
        <v>277</v>
      </c>
      <c r="E378" s="52" t="s">
        <v>676</v>
      </c>
      <c r="F378" s="2"/>
      <c r="G378" s="36">
        <v>-68.62</v>
      </c>
      <c r="H378" s="2"/>
      <c r="I378" s="52" t="s">
        <v>269</v>
      </c>
      <c r="J378" s="2"/>
      <c r="K378" s="2"/>
    </row>
    <row r="379" ht="15.0" customHeight="1">
      <c r="A379" s="49">
        <v>46005.0</v>
      </c>
      <c r="B379" s="52" t="s">
        <v>166</v>
      </c>
      <c r="C379" s="52" t="s">
        <v>26</v>
      </c>
      <c r="D379" s="52" t="s">
        <v>270</v>
      </c>
      <c r="E379" s="52" t="s">
        <v>374</v>
      </c>
      <c r="F379" s="2"/>
      <c r="G379" s="36">
        <v>-103.7</v>
      </c>
      <c r="H379" s="2"/>
      <c r="I379" s="52" t="s">
        <v>272</v>
      </c>
      <c r="J379" s="2"/>
      <c r="K379" s="2"/>
    </row>
    <row r="380" ht="15.0" customHeight="1">
      <c r="A380" s="49">
        <v>46005.0</v>
      </c>
      <c r="B380" s="52" t="s">
        <v>677</v>
      </c>
      <c r="C380" s="52" t="s">
        <v>153</v>
      </c>
      <c r="D380" s="52" t="s">
        <v>270</v>
      </c>
      <c r="E380" s="52" t="s">
        <v>678</v>
      </c>
      <c r="F380" s="2"/>
      <c r="G380" s="36">
        <v>-8.52</v>
      </c>
      <c r="H380" s="2"/>
      <c r="I380" s="52" t="s">
        <v>272</v>
      </c>
      <c r="J380" s="2"/>
      <c r="K380" s="2"/>
    </row>
    <row r="381" ht="15.0" customHeight="1">
      <c r="A381" s="49">
        <v>46005.0</v>
      </c>
      <c r="B381" s="52" t="s">
        <v>674</v>
      </c>
      <c r="C381" s="52" t="s">
        <v>28</v>
      </c>
      <c r="D381" s="52" t="s">
        <v>270</v>
      </c>
      <c r="E381" s="52" t="s">
        <v>679</v>
      </c>
      <c r="F381" s="2"/>
      <c r="G381" s="36">
        <v>-23.0</v>
      </c>
      <c r="H381" s="2"/>
      <c r="I381" s="52" t="s">
        <v>272</v>
      </c>
      <c r="J381" s="2"/>
      <c r="K381" s="2"/>
    </row>
    <row r="382" ht="15.0" customHeight="1">
      <c r="A382" s="49">
        <v>46005.0</v>
      </c>
      <c r="B382" s="52" t="s">
        <v>680</v>
      </c>
      <c r="C382" s="52" t="s">
        <v>162</v>
      </c>
      <c r="D382" s="52" t="s">
        <v>270</v>
      </c>
      <c r="E382" s="52" t="s">
        <v>681</v>
      </c>
      <c r="F382" s="2"/>
      <c r="G382" s="36">
        <v>-19.0</v>
      </c>
      <c r="H382" s="2"/>
      <c r="I382" s="52" t="s">
        <v>272</v>
      </c>
      <c r="J382" s="2"/>
      <c r="K382" s="2"/>
    </row>
    <row r="383" ht="15.0" customHeight="1">
      <c r="A383" s="49">
        <v>46004.0</v>
      </c>
      <c r="B383" s="52" t="s">
        <v>164</v>
      </c>
      <c r="C383" s="52" t="s">
        <v>27</v>
      </c>
      <c r="D383" s="52" t="s">
        <v>277</v>
      </c>
      <c r="E383" s="52" t="s">
        <v>364</v>
      </c>
      <c r="F383" s="2"/>
      <c r="G383" s="36">
        <v>15.25</v>
      </c>
      <c r="H383" s="2"/>
      <c r="I383" s="52" t="s">
        <v>269</v>
      </c>
      <c r="J383" s="2"/>
      <c r="K383" s="2"/>
    </row>
    <row r="384" ht="15.0" customHeight="1">
      <c r="A384" s="49">
        <v>46004.0</v>
      </c>
      <c r="B384" s="52" t="s">
        <v>682</v>
      </c>
      <c r="C384" s="52" t="s">
        <v>26</v>
      </c>
      <c r="D384" s="52" t="s">
        <v>277</v>
      </c>
      <c r="E384" s="52" t="s">
        <v>683</v>
      </c>
      <c r="F384" s="2"/>
      <c r="G384" s="36">
        <v>-15.81</v>
      </c>
      <c r="H384" s="2"/>
      <c r="I384" s="52" t="s">
        <v>269</v>
      </c>
      <c r="J384" s="2"/>
      <c r="K384" s="2"/>
    </row>
    <row r="385" ht="15.0" customHeight="1">
      <c r="A385" s="49">
        <v>46004.0</v>
      </c>
      <c r="B385" s="52" t="s">
        <v>335</v>
      </c>
      <c r="C385" s="52" t="s">
        <v>152</v>
      </c>
      <c r="D385" s="52" t="s">
        <v>277</v>
      </c>
      <c r="E385" s="52" t="s">
        <v>684</v>
      </c>
      <c r="F385" s="2"/>
      <c r="G385" s="36">
        <v>-16.68</v>
      </c>
      <c r="H385" s="2"/>
      <c r="I385" s="52" t="s">
        <v>269</v>
      </c>
      <c r="J385" s="2"/>
      <c r="K385" s="2"/>
    </row>
    <row r="386" ht="15.0" customHeight="1">
      <c r="A386" s="49">
        <v>46004.0</v>
      </c>
      <c r="B386" s="52" t="s">
        <v>674</v>
      </c>
      <c r="C386" s="52" t="s">
        <v>675</v>
      </c>
      <c r="D386" s="52" t="s">
        <v>277</v>
      </c>
      <c r="E386" s="52" t="s">
        <v>676</v>
      </c>
      <c r="F386" s="2"/>
      <c r="G386" s="36">
        <v>-192.45</v>
      </c>
      <c r="H386" s="2"/>
      <c r="I386" s="52" t="s">
        <v>269</v>
      </c>
      <c r="J386" s="2"/>
      <c r="K386" s="2"/>
    </row>
    <row r="387" ht="15.0" customHeight="1">
      <c r="A387" s="49">
        <v>46004.0</v>
      </c>
      <c r="B387" s="52" t="s">
        <v>674</v>
      </c>
      <c r="C387" s="52" t="s">
        <v>675</v>
      </c>
      <c r="D387" s="52" t="s">
        <v>277</v>
      </c>
      <c r="E387" s="52" t="s">
        <v>676</v>
      </c>
      <c r="F387" s="2"/>
      <c r="G387" s="36">
        <v>-82.88</v>
      </c>
      <c r="H387" s="2"/>
      <c r="I387" s="52" t="s">
        <v>269</v>
      </c>
      <c r="J387" s="2"/>
      <c r="K387" s="2"/>
    </row>
    <row r="388" ht="15.0" customHeight="1">
      <c r="A388" s="49">
        <v>46004.0</v>
      </c>
      <c r="B388" s="52" t="s">
        <v>283</v>
      </c>
      <c r="C388" s="52" t="s">
        <v>154</v>
      </c>
      <c r="D388" s="52" t="s">
        <v>277</v>
      </c>
      <c r="E388" s="52" t="s">
        <v>298</v>
      </c>
      <c r="F388" s="2"/>
      <c r="G388" s="36">
        <v>-26.28</v>
      </c>
      <c r="H388" s="2"/>
      <c r="I388" s="52" t="s">
        <v>269</v>
      </c>
      <c r="J388" s="2"/>
      <c r="K388" s="2"/>
    </row>
    <row r="389" ht="15.0" customHeight="1">
      <c r="A389" s="49">
        <v>46004.0</v>
      </c>
      <c r="B389" s="52" t="s">
        <v>321</v>
      </c>
      <c r="C389" s="52" t="s">
        <v>152</v>
      </c>
      <c r="D389" s="52" t="s">
        <v>277</v>
      </c>
      <c r="E389" s="52" t="s">
        <v>323</v>
      </c>
      <c r="F389" s="2"/>
      <c r="G389" s="36">
        <v>-26.67</v>
      </c>
      <c r="H389" s="2"/>
      <c r="I389" s="52" t="s">
        <v>269</v>
      </c>
      <c r="J389" s="2"/>
      <c r="K389" s="2"/>
    </row>
    <row r="390" ht="15.0" customHeight="1">
      <c r="A390" s="49">
        <v>46004.0</v>
      </c>
      <c r="B390" s="52" t="s">
        <v>164</v>
      </c>
      <c r="C390" s="52" t="s">
        <v>27</v>
      </c>
      <c r="D390" s="52" t="s">
        <v>273</v>
      </c>
      <c r="E390" s="52" t="s">
        <v>274</v>
      </c>
      <c r="F390" s="2"/>
      <c r="G390" s="36">
        <v>-60.96</v>
      </c>
      <c r="H390" s="2"/>
      <c r="I390" s="52" t="s">
        <v>272</v>
      </c>
      <c r="J390" s="2"/>
      <c r="K390" s="2"/>
    </row>
    <row r="391" ht="15.0" customHeight="1">
      <c r="A391" s="49">
        <v>46004.0</v>
      </c>
      <c r="B391" s="52" t="s">
        <v>682</v>
      </c>
      <c r="C391" s="52" t="s">
        <v>26</v>
      </c>
      <c r="D391" s="52" t="s">
        <v>270</v>
      </c>
      <c r="E391" s="52" t="s">
        <v>685</v>
      </c>
      <c r="F391" s="2"/>
      <c r="G391" s="36">
        <v>-5.02</v>
      </c>
      <c r="H391" s="2"/>
      <c r="I391" s="52" t="s">
        <v>272</v>
      </c>
      <c r="J391" s="2"/>
      <c r="K391" s="2"/>
    </row>
    <row r="392" ht="15.0" customHeight="1">
      <c r="A392" s="49">
        <v>46004.0</v>
      </c>
      <c r="B392" s="52" t="s">
        <v>684</v>
      </c>
      <c r="C392" s="52" t="s">
        <v>152</v>
      </c>
      <c r="D392" s="52" t="s">
        <v>270</v>
      </c>
      <c r="E392" s="52" t="s">
        <v>686</v>
      </c>
      <c r="F392" s="2"/>
      <c r="G392" s="36">
        <v>-11.77</v>
      </c>
      <c r="H392" s="2"/>
      <c r="I392" s="52" t="s">
        <v>272</v>
      </c>
      <c r="J392" s="2"/>
      <c r="K392" s="2"/>
    </row>
    <row r="393" ht="15.0" customHeight="1">
      <c r="A393" s="49">
        <v>46004.0</v>
      </c>
      <c r="B393" s="52" t="s">
        <v>458</v>
      </c>
      <c r="C393" s="52" t="s">
        <v>455</v>
      </c>
      <c r="D393" s="52" t="s">
        <v>273</v>
      </c>
      <c r="E393" s="52" t="s">
        <v>459</v>
      </c>
      <c r="F393" s="2"/>
      <c r="G393" s="36">
        <v>-350.0</v>
      </c>
      <c r="H393" s="2"/>
      <c r="I393" s="52" t="s">
        <v>272</v>
      </c>
      <c r="J393" s="2"/>
      <c r="K393" s="2"/>
    </row>
    <row r="394" ht="15.0" customHeight="1">
      <c r="A394" s="49">
        <v>46004.0</v>
      </c>
      <c r="B394" s="52" t="s">
        <v>164</v>
      </c>
      <c r="C394" s="52" t="s">
        <v>27</v>
      </c>
      <c r="D394" s="52" t="s">
        <v>273</v>
      </c>
      <c r="E394" s="52" t="s">
        <v>274</v>
      </c>
      <c r="F394" s="2"/>
      <c r="G394" s="36">
        <v>-140.64</v>
      </c>
      <c r="H394" s="2"/>
      <c r="I394" s="52" t="s">
        <v>272</v>
      </c>
      <c r="J394" s="2"/>
      <c r="K394" s="2"/>
    </row>
    <row r="395" ht="15.0" customHeight="1">
      <c r="A395" s="49">
        <v>46003.0</v>
      </c>
      <c r="B395" s="52" t="s">
        <v>472</v>
      </c>
      <c r="C395" s="52" t="s">
        <v>27</v>
      </c>
      <c r="D395" s="52" t="s">
        <v>277</v>
      </c>
      <c r="E395" s="52" t="s">
        <v>687</v>
      </c>
      <c r="F395" s="2"/>
      <c r="G395" s="36">
        <v>-15.0</v>
      </c>
      <c r="H395" s="2"/>
      <c r="I395" s="52" t="s">
        <v>269</v>
      </c>
      <c r="J395" s="2"/>
      <c r="K395" s="2"/>
    </row>
    <row r="396" ht="15.0" customHeight="1">
      <c r="A396" s="49">
        <v>46003.0</v>
      </c>
      <c r="B396" s="52" t="s">
        <v>164</v>
      </c>
      <c r="C396" s="52" t="s">
        <v>27</v>
      </c>
      <c r="D396" s="52" t="s">
        <v>277</v>
      </c>
      <c r="E396" s="52" t="s">
        <v>364</v>
      </c>
      <c r="F396" s="2"/>
      <c r="G396" s="36">
        <v>-19.8</v>
      </c>
      <c r="H396" s="2"/>
      <c r="I396" s="52" t="s">
        <v>269</v>
      </c>
      <c r="J396" s="2"/>
      <c r="K396" s="2"/>
    </row>
    <row r="397" ht="15.0" customHeight="1">
      <c r="A397" s="49">
        <v>46003.0</v>
      </c>
      <c r="B397" s="52" t="s">
        <v>164</v>
      </c>
      <c r="C397" s="52" t="s">
        <v>27</v>
      </c>
      <c r="D397" s="52" t="s">
        <v>277</v>
      </c>
      <c r="E397" s="52" t="s">
        <v>364</v>
      </c>
      <c r="F397" s="2"/>
      <c r="G397" s="36">
        <v>-15.25</v>
      </c>
      <c r="H397" s="2"/>
      <c r="I397" s="52" t="s">
        <v>269</v>
      </c>
      <c r="J397" s="2"/>
      <c r="K397" s="2"/>
    </row>
    <row r="398" ht="15.0" customHeight="1">
      <c r="A398" s="49">
        <v>46003.0</v>
      </c>
      <c r="B398" s="52" t="s">
        <v>164</v>
      </c>
      <c r="C398" s="52" t="s">
        <v>27</v>
      </c>
      <c r="D398" s="52" t="s">
        <v>277</v>
      </c>
      <c r="E398" s="52" t="s">
        <v>274</v>
      </c>
      <c r="F398" s="2"/>
      <c r="G398" s="36">
        <v>-8.7</v>
      </c>
      <c r="H398" s="2"/>
      <c r="I398" s="52" t="s">
        <v>269</v>
      </c>
      <c r="J398" s="2"/>
      <c r="K398" s="2"/>
    </row>
    <row r="399" ht="15.0" customHeight="1">
      <c r="A399" s="49">
        <v>46003.0</v>
      </c>
      <c r="B399" s="52" t="s">
        <v>319</v>
      </c>
      <c r="C399" s="52" t="s">
        <v>28</v>
      </c>
      <c r="D399" s="52" t="s">
        <v>277</v>
      </c>
      <c r="E399" s="52" t="s">
        <v>457</v>
      </c>
      <c r="F399" s="2"/>
      <c r="G399" s="36">
        <v>-46.28</v>
      </c>
      <c r="H399" s="2"/>
      <c r="I399" s="52" t="s">
        <v>269</v>
      </c>
      <c r="J399" s="2"/>
      <c r="K399" s="2"/>
    </row>
    <row r="400" ht="15.0" customHeight="1">
      <c r="A400" s="49">
        <v>46003.0</v>
      </c>
      <c r="B400" s="52" t="s">
        <v>91</v>
      </c>
      <c r="C400" s="52" t="s">
        <v>27</v>
      </c>
      <c r="D400" s="52" t="s">
        <v>267</v>
      </c>
      <c r="E400" s="52" t="s">
        <v>667</v>
      </c>
      <c r="F400" s="2"/>
      <c r="G400" s="36">
        <v>-108.9</v>
      </c>
      <c r="H400" s="2"/>
      <c r="I400" s="52" t="s">
        <v>269</v>
      </c>
      <c r="J400" s="2"/>
      <c r="K400" s="2"/>
    </row>
    <row r="401" ht="15.0" customHeight="1">
      <c r="A401" s="49">
        <v>46003.0</v>
      </c>
      <c r="B401" s="52" t="s">
        <v>164</v>
      </c>
      <c r="C401" s="52" t="s">
        <v>27</v>
      </c>
      <c r="D401" s="52" t="s">
        <v>273</v>
      </c>
      <c r="E401" s="52" t="s">
        <v>274</v>
      </c>
      <c r="F401" s="2"/>
      <c r="G401" s="36">
        <v>-20.68</v>
      </c>
      <c r="H401" s="2"/>
      <c r="I401" s="52" t="s">
        <v>272</v>
      </c>
      <c r="J401" s="2"/>
      <c r="K401" s="2"/>
    </row>
    <row r="402" ht="15.0" customHeight="1">
      <c r="A402" s="49">
        <v>46003.0</v>
      </c>
      <c r="B402" s="52" t="s">
        <v>688</v>
      </c>
      <c r="C402" s="52" t="s">
        <v>157</v>
      </c>
      <c r="D402" s="52" t="s">
        <v>270</v>
      </c>
      <c r="E402" s="52" t="s">
        <v>689</v>
      </c>
      <c r="F402" s="2"/>
      <c r="G402" s="36">
        <v>-53.0</v>
      </c>
      <c r="H402" s="2"/>
      <c r="I402" s="52" t="s">
        <v>272</v>
      </c>
      <c r="J402" s="2"/>
      <c r="K402" s="2"/>
    </row>
    <row r="403" ht="15.0" customHeight="1">
      <c r="A403" s="49">
        <v>46003.0</v>
      </c>
      <c r="B403" s="52" t="s">
        <v>283</v>
      </c>
      <c r="C403" s="52" t="s">
        <v>154</v>
      </c>
      <c r="D403" s="52" t="s">
        <v>270</v>
      </c>
      <c r="E403" s="52" t="s">
        <v>298</v>
      </c>
      <c r="F403" s="2"/>
      <c r="G403" s="36">
        <v>-11.53</v>
      </c>
      <c r="H403" s="2"/>
      <c r="I403" s="52" t="s">
        <v>272</v>
      </c>
      <c r="J403" s="2"/>
      <c r="K403" s="2"/>
    </row>
    <row r="404" ht="15.0" customHeight="1">
      <c r="A404" s="49">
        <v>46003.0</v>
      </c>
      <c r="B404" s="52" t="s">
        <v>164</v>
      </c>
      <c r="C404" s="52" t="s">
        <v>27</v>
      </c>
      <c r="D404" s="52" t="s">
        <v>270</v>
      </c>
      <c r="E404" s="52" t="s">
        <v>690</v>
      </c>
      <c r="F404" s="2"/>
      <c r="G404" s="36">
        <v>-2.99</v>
      </c>
      <c r="H404" s="2"/>
      <c r="I404" s="52" t="s">
        <v>272</v>
      </c>
      <c r="J404" s="2"/>
      <c r="K404" s="2"/>
    </row>
    <row r="405" ht="15.0" customHeight="1">
      <c r="A405" s="49">
        <v>46003.0</v>
      </c>
      <c r="B405" s="52" t="s">
        <v>164</v>
      </c>
      <c r="C405" s="52" t="s">
        <v>27</v>
      </c>
      <c r="D405" s="52" t="s">
        <v>273</v>
      </c>
      <c r="E405" s="52" t="s">
        <v>274</v>
      </c>
      <c r="F405" s="2"/>
      <c r="G405" s="36">
        <v>-43.54</v>
      </c>
      <c r="H405" s="2"/>
      <c r="I405" s="52" t="s">
        <v>272</v>
      </c>
      <c r="J405" s="2"/>
      <c r="K405" s="2"/>
    </row>
    <row r="406" ht="15.0" customHeight="1">
      <c r="A406" s="49">
        <v>46003.0</v>
      </c>
      <c r="B406" s="52" t="s">
        <v>691</v>
      </c>
      <c r="C406" s="52" t="s">
        <v>289</v>
      </c>
      <c r="D406" s="52" t="s">
        <v>296</v>
      </c>
      <c r="E406" s="52" t="s">
        <v>692</v>
      </c>
      <c r="F406" s="2"/>
      <c r="G406" s="36">
        <v>9.86</v>
      </c>
      <c r="H406" s="2"/>
      <c r="I406" s="52" t="s">
        <v>272</v>
      </c>
      <c r="J406" s="2"/>
      <c r="K406" s="2"/>
    </row>
    <row r="407" ht="15.0" customHeight="1">
      <c r="A407" s="49">
        <v>46003.0</v>
      </c>
      <c r="B407" s="52" t="s">
        <v>474</v>
      </c>
      <c r="C407" s="52" t="s">
        <v>475</v>
      </c>
      <c r="D407" s="52" t="s">
        <v>296</v>
      </c>
      <c r="E407" s="52" t="s">
        <v>476</v>
      </c>
      <c r="F407" s="2"/>
      <c r="G407" s="36">
        <v>-20.0</v>
      </c>
      <c r="H407" s="2"/>
      <c r="I407" s="52" t="s">
        <v>272</v>
      </c>
      <c r="J407" s="2"/>
      <c r="K407" s="2"/>
    </row>
    <row r="408" ht="15.0" customHeight="1">
      <c r="A408" s="49">
        <v>46003.0</v>
      </c>
      <c r="B408" s="52" t="s">
        <v>693</v>
      </c>
      <c r="C408" s="52" t="s">
        <v>370</v>
      </c>
      <c r="D408" s="52" t="s">
        <v>309</v>
      </c>
      <c r="E408" s="52" t="s">
        <v>694</v>
      </c>
      <c r="F408" s="2"/>
      <c r="G408" s="36">
        <v>-9.86</v>
      </c>
      <c r="H408" s="2"/>
      <c r="I408" s="52" t="s">
        <v>272</v>
      </c>
      <c r="J408" s="2"/>
      <c r="K408" s="2"/>
    </row>
    <row r="409" ht="15.0" customHeight="1">
      <c r="A409" s="49">
        <v>46002.0</v>
      </c>
      <c r="B409" s="52" t="s">
        <v>164</v>
      </c>
      <c r="C409" s="52" t="s">
        <v>27</v>
      </c>
      <c r="D409" s="52" t="s">
        <v>277</v>
      </c>
      <c r="E409" s="52" t="s">
        <v>274</v>
      </c>
      <c r="F409" s="2"/>
      <c r="G409" s="36">
        <v>-43.3</v>
      </c>
      <c r="H409" s="2"/>
      <c r="I409" s="52" t="s">
        <v>269</v>
      </c>
      <c r="J409" s="2"/>
      <c r="K409" s="2"/>
    </row>
    <row r="410" ht="15.0" customHeight="1">
      <c r="A410" s="49">
        <v>46002.0</v>
      </c>
      <c r="B410" s="52" t="s">
        <v>283</v>
      </c>
      <c r="C410" s="52" t="s">
        <v>154</v>
      </c>
      <c r="D410" s="52" t="s">
        <v>277</v>
      </c>
      <c r="E410" s="52" t="s">
        <v>298</v>
      </c>
      <c r="F410" s="2"/>
      <c r="G410" s="36">
        <v>-43.2</v>
      </c>
      <c r="H410" s="2"/>
      <c r="I410" s="52" t="s">
        <v>269</v>
      </c>
      <c r="J410" s="2"/>
      <c r="K410" s="2"/>
    </row>
    <row r="411" ht="15.0" customHeight="1">
      <c r="A411" s="49">
        <v>46002.0</v>
      </c>
      <c r="B411" s="52" t="s">
        <v>333</v>
      </c>
      <c r="C411" s="52" t="s">
        <v>158</v>
      </c>
      <c r="D411" s="52" t="s">
        <v>267</v>
      </c>
      <c r="E411" s="52" t="s">
        <v>695</v>
      </c>
      <c r="F411" s="2"/>
      <c r="G411" s="36">
        <v>-75.0</v>
      </c>
      <c r="H411" s="2"/>
      <c r="I411" s="52" t="s">
        <v>269</v>
      </c>
      <c r="J411" s="2"/>
      <c r="K411" s="2"/>
    </row>
    <row r="412" ht="15.0" customHeight="1">
      <c r="A412" s="49">
        <v>46002.0</v>
      </c>
      <c r="B412" s="52" t="s">
        <v>647</v>
      </c>
      <c r="C412" s="52" t="s">
        <v>157</v>
      </c>
      <c r="D412" s="52" t="s">
        <v>270</v>
      </c>
      <c r="E412" s="52" t="s">
        <v>696</v>
      </c>
      <c r="F412" s="2"/>
      <c r="G412" s="36">
        <v>-12.44</v>
      </c>
      <c r="H412" s="2"/>
      <c r="I412" s="52" t="s">
        <v>272</v>
      </c>
      <c r="J412" s="2"/>
      <c r="K412" s="2"/>
    </row>
    <row r="413" ht="15.0" customHeight="1">
      <c r="A413" s="49">
        <v>46002.0</v>
      </c>
      <c r="B413" s="52" t="s">
        <v>697</v>
      </c>
      <c r="C413" s="52" t="s">
        <v>27</v>
      </c>
      <c r="D413" s="52" t="s">
        <v>270</v>
      </c>
      <c r="E413" s="52" t="s">
        <v>698</v>
      </c>
      <c r="F413" s="2"/>
      <c r="G413" s="36">
        <v>-33.7</v>
      </c>
      <c r="H413" s="2"/>
      <c r="I413" s="52" t="s">
        <v>272</v>
      </c>
      <c r="J413" s="2"/>
      <c r="K413" s="2"/>
    </row>
    <row r="414" ht="15.0" customHeight="1">
      <c r="A414" s="49">
        <v>46001.0</v>
      </c>
      <c r="B414" s="52" t="s">
        <v>699</v>
      </c>
      <c r="C414" s="52" t="s">
        <v>281</v>
      </c>
      <c r="D414" s="52" t="s">
        <v>277</v>
      </c>
      <c r="E414" s="52" t="s">
        <v>700</v>
      </c>
      <c r="F414" s="2"/>
      <c r="G414" s="36">
        <v>-155.31</v>
      </c>
      <c r="H414" s="2"/>
      <c r="I414" s="52" t="s">
        <v>269</v>
      </c>
      <c r="J414" s="2"/>
      <c r="K414" s="2"/>
    </row>
    <row r="415" ht="15.0" customHeight="1">
      <c r="A415" s="49">
        <v>46001.0</v>
      </c>
      <c r="B415" s="52" t="s">
        <v>91</v>
      </c>
      <c r="C415" s="52" t="s">
        <v>27</v>
      </c>
      <c r="D415" s="52" t="s">
        <v>267</v>
      </c>
      <c r="E415" s="52" t="s">
        <v>701</v>
      </c>
      <c r="F415" s="2"/>
      <c r="G415" s="36">
        <v>-51.08</v>
      </c>
      <c r="H415" s="2"/>
      <c r="I415" s="52" t="s">
        <v>269</v>
      </c>
      <c r="J415" s="2"/>
      <c r="K415" s="2"/>
    </row>
    <row r="416" ht="15.0" customHeight="1">
      <c r="A416" s="49">
        <v>46001.0</v>
      </c>
      <c r="B416" s="52" t="s">
        <v>688</v>
      </c>
      <c r="C416" s="52" t="s">
        <v>157</v>
      </c>
      <c r="D416" s="52" t="s">
        <v>270</v>
      </c>
      <c r="E416" s="52" t="s">
        <v>689</v>
      </c>
      <c r="F416" s="2"/>
      <c r="G416" s="36">
        <v>-17.95</v>
      </c>
      <c r="H416" s="2"/>
      <c r="I416" s="52" t="s">
        <v>272</v>
      </c>
      <c r="J416" s="2"/>
      <c r="K416" s="2"/>
    </row>
    <row r="417" ht="15.0" customHeight="1">
      <c r="A417" s="49">
        <v>46001.0</v>
      </c>
      <c r="B417" s="52" t="s">
        <v>166</v>
      </c>
      <c r="C417" s="52" t="s">
        <v>26</v>
      </c>
      <c r="D417" s="52" t="s">
        <v>270</v>
      </c>
      <c r="E417" s="52" t="s">
        <v>375</v>
      </c>
      <c r="F417" s="2"/>
      <c r="G417" s="36">
        <v>-72.53</v>
      </c>
      <c r="H417" s="2"/>
      <c r="I417" s="52" t="s">
        <v>272</v>
      </c>
      <c r="J417" s="2"/>
      <c r="K417" s="2"/>
    </row>
    <row r="418" ht="15.0" customHeight="1">
      <c r="A418" s="49">
        <v>46001.0</v>
      </c>
      <c r="B418" s="52" t="s">
        <v>166</v>
      </c>
      <c r="C418" s="52" t="s">
        <v>26</v>
      </c>
      <c r="D418" s="52" t="s">
        <v>270</v>
      </c>
      <c r="E418" s="52" t="s">
        <v>375</v>
      </c>
      <c r="F418" s="2"/>
      <c r="G418" s="36">
        <v>-31.79</v>
      </c>
      <c r="H418" s="2"/>
      <c r="I418" s="52" t="s">
        <v>272</v>
      </c>
      <c r="J418" s="2"/>
      <c r="K418" s="2"/>
    </row>
    <row r="419" ht="15.0" customHeight="1">
      <c r="A419" s="49">
        <v>46001.0</v>
      </c>
      <c r="B419" s="52" t="s">
        <v>321</v>
      </c>
      <c r="C419" s="52" t="s">
        <v>152</v>
      </c>
      <c r="D419" s="52" t="s">
        <v>270</v>
      </c>
      <c r="E419" s="52" t="s">
        <v>323</v>
      </c>
      <c r="F419" s="2"/>
      <c r="G419" s="36">
        <v>-6.95</v>
      </c>
      <c r="H419" s="2"/>
      <c r="I419" s="52" t="s">
        <v>272</v>
      </c>
      <c r="J419" s="2"/>
      <c r="K419" s="2"/>
    </row>
    <row r="420" ht="15.0" customHeight="1">
      <c r="A420" s="49">
        <v>46000.0</v>
      </c>
      <c r="B420" s="52" t="s">
        <v>702</v>
      </c>
      <c r="C420" s="52" t="s">
        <v>155</v>
      </c>
      <c r="D420" s="52" t="s">
        <v>277</v>
      </c>
      <c r="E420" s="52" t="s">
        <v>703</v>
      </c>
      <c r="F420" s="2"/>
      <c r="G420" s="36">
        <v>-432.68</v>
      </c>
      <c r="H420" s="2"/>
      <c r="I420" s="52" t="s">
        <v>269</v>
      </c>
      <c r="J420" s="2"/>
      <c r="K420" s="2"/>
    </row>
    <row r="421" ht="15.0" customHeight="1">
      <c r="A421" s="49">
        <v>46000.0</v>
      </c>
      <c r="B421" s="52" t="s">
        <v>283</v>
      </c>
      <c r="C421" s="52" t="s">
        <v>154</v>
      </c>
      <c r="D421" s="52" t="s">
        <v>267</v>
      </c>
      <c r="E421" s="52" t="s">
        <v>704</v>
      </c>
      <c r="F421" s="2"/>
      <c r="G421" s="36">
        <v>-16.54</v>
      </c>
      <c r="H421" s="2"/>
      <c r="I421" s="52" t="s">
        <v>269</v>
      </c>
      <c r="J421" s="2"/>
      <c r="K421" s="2"/>
    </row>
    <row r="422" ht="15.0" customHeight="1">
      <c r="A422" s="49">
        <v>46000.0</v>
      </c>
      <c r="B422" s="52" t="s">
        <v>705</v>
      </c>
      <c r="C422" s="52" t="s">
        <v>28</v>
      </c>
      <c r="D422" s="52" t="s">
        <v>267</v>
      </c>
      <c r="E422" s="52" t="s">
        <v>706</v>
      </c>
      <c r="F422" s="2"/>
      <c r="G422" s="36">
        <v>-83.84</v>
      </c>
      <c r="H422" s="2"/>
      <c r="I422" s="52" t="s">
        <v>269</v>
      </c>
      <c r="J422" s="2"/>
      <c r="K422" s="2"/>
    </row>
    <row r="423" ht="15.0" customHeight="1">
      <c r="A423" s="49">
        <v>46000.0</v>
      </c>
      <c r="B423" s="52" t="s">
        <v>491</v>
      </c>
      <c r="C423" s="52" t="s">
        <v>349</v>
      </c>
      <c r="D423" s="52" t="s">
        <v>270</v>
      </c>
      <c r="E423" s="52" t="s">
        <v>492</v>
      </c>
      <c r="F423" s="2"/>
      <c r="G423" s="36">
        <v>-182.53</v>
      </c>
      <c r="H423" s="2"/>
      <c r="I423" s="52" t="s">
        <v>272</v>
      </c>
      <c r="J423" s="2"/>
      <c r="K423" s="2"/>
    </row>
    <row r="424" ht="15.0" customHeight="1">
      <c r="A424" s="49">
        <v>46000.0</v>
      </c>
      <c r="B424" s="52" t="s">
        <v>166</v>
      </c>
      <c r="C424" s="52" t="s">
        <v>26</v>
      </c>
      <c r="D424" s="52" t="s">
        <v>270</v>
      </c>
      <c r="E424" s="52" t="s">
        <v>374</v>
      </c>
      <c r="F424" s="2"/>
      <c r="G424" s="36">
        <v>-44.53</v>
      </c>
      <c r="H424" s="2"/>
      <c r="I424" s="52" t="s">
        <v>272</v>
      </c>
      <c r="J424" s="2"/>
      <c r="K424" s="2"/>
    </row>
    <row r="425" ht="15.0" customHeight="1">
      <c r="A425" s="49">
        <v>46000.0</v>
      </c>
      <c r="B425" s="52" t="s">
        <v>164</v>
      </c>
      <c r="C425" s="52" t="s">
        <v>27</v>
      </c>
      <c r="D425" s="52" t="s">
        <v>273</v>
      </c>
      <c r="E425" s="52" t="s">
        <v>274</v>
      </c>
      <c r="F425" s="2"/>
      <c r="G425" s="36">
        <v>-114.81</v>
      </c>
      <c r="H425" s="2"/>
      <c r="I425" s="52" t="s">
        <v>272</v>
      </c>
      <c r="J425" s="2"/>
      <c r="K425" s="2"/>
    </row>
    <row r="426" ht="15.0" customHeight="1">
      <c r="A426" s="49">
        <v>46000.0</v>
      </c>
      <c r="B426" s="52" t="s">
        <v>493</v>
      </c>
      <c r="C426" s="52" t="s">
        <v>455</v>
      </c>
      <c r="D426" s="52" t="s">
        <v>270</v>
      </c>
      <c r="E426" s="52" t="s">
        <v>494</v>
      </c>
      <c r="F426" s="2"/>
      <c r="G426" s="36">
        <v>-14.44</v>
      </c>
      <c r="H426" s="2"/>
      <c r="I426" s="52" t="s">
        <v>272</v>
      </c>
      <c r="J426" s="2"/>
      <c r="K426" s="2"/>
    </row>
    <row r="427" ht="15.0" customHeight="1">
      <c r="A427" s="49">
        <v>45999.0</v>
      </c>
      <c r="B427" s="52" t="s">
        <v>165</v>
      </c>
      <c r="C427" s="52" t="s">
        <v>28</v>
      </c>
      <c r="D427" s="52" t="s">
        <v>277</v>
      </c>
      <c r="E427" s="52" t="s">
        <v>313</v>
      </c>
      <c r="F427" s="2"/>
      <c r="G427" s="36">
        <v>-88.1</v>
      </c>
      <c r="H427" s="2"/>
      <c r="I427" s="52" t="s">
        <v>269</v>
      </c>
      <c r="J427" s="2"/>
      <c r="K427" s="2"/>
    </row>
    <row r="428" ht="15.0" customHeight="1">
      <c r="A428" s="49">
        <v>45999.0</v>
      </c>
      <c r="B428" s="52" t="s">
        <v>702</v>
      </c>
      <c r="C428" s="52" t="s">
        <v>155</v>
      </c>
      <c r="D428" s="52" t="s">
        <v>277</v>
      </c>
      <c r="E428" s="52" t="s">
        <v>703</v>
      </c>
      <c r="F428" s="2"/>
      <c r="G428" s="36">
        <v>-10.0</v>
      </c>
      <c r="H428" s="2"/>
      <c r="I428" s="52" t="s">
        <v>269</v>
      </c>
      <c r="J428" s="2"/>
      <c r="K428" s="2"/>
    </row>
    <row r="429" ht="15.0" customHeight="1">
      <c r="A429" s="49">
        <v>45999.0</v>
      </c>
      <c r="B429" s="52" t="s">
        <v>428</v>
      </c>
      <c r="C429" s="52" t="s">
        <v>26</v>
      </c>
      <c r="D429" s="52" t="s">
        <v>277</v>
      </c>
      <c r="E429" s="52" t="s">
        <v>707</v>
      </c>
      <c r="F429" s="2"/>
      <c r="G429" s="36">
        <v>-24.41</v>
      </c>
      <c r="H429" s="2"/>
      <c r="I429" s="52" t="s">
        <v>269</v>
      </c>
      <c r="J429" s="2"/>
      <c r="K429" s="2"/>
    </row>
    <row r="430" ht="15.0" customHeight="1">
      <c r="A430" s="49">
        <v>45999.0</v>
      </c>
      <c r="B430" s="52" t="s">
        <v>164</v>
      </c>
      <c r="C430" s="52" t="s">
        <v>27</v>
      </c>
      <c r="D430" s="52" t="s">
        <v>277</v>
      </c>
      <c r="E430" s="52" t="s">
        <v>364</v>
      </c>
      <c r="F430" s="2"/>
      <c r="G430" s="36">
        <v>-7.57</v>
      </c>
      <c r="H430" s="2"/>
      <c r="I430" s="52" t="s">
        <v>269</v>
      </c>
      <c r="J430" s="2"/>
      <c r="K430" s="2"/>
    </row>
    <row r="431" ht="15.0" customHeight="1">
      <c r="A431" s="49">
        <v>45999.0</v>
      </c>
      <c r="B431" s="52" t="s">
        <v>91</v>
      </c>
      <c r="C431" s="52" t="s">
        <v>27</v>
      </c>
      <c r="D431" s="52" t="s">
        <v>267</v>
      </c>
      <c r="E431" s="52" t="s">
        <v>708</v>
      </c>
      <c r="F431" s="2"/>
      <c r="G431" s="36">
        <v>-46.82</v>
      </c>
      <c r="H431" s="2"/>
      <c r="I431" s="52" t="s">
        <v>269</v>
      </c>
      <c r="J431" s="2"/>
      <c r="K431" s="2"/>
    </row>
    <row r="432" ht="15.0" customHeight="1">
      <c r="A432" s="49">
        <v>45999.0</v>
      </c>
      <c r="B432" s="52" t="s">
        <v>709</v>
      </c>
      <c r="C432" s="52" t="s">
        <v>156</v>
      </c>
      <c r="D432" s="52" t="s">
        <v>267</v>
      </c>
      <c r="E432" s="52" t="s">
        <v>710</v>
      </c>
      <c r="F432" s="2"/>
      <c r="G432" s="36">
        <v>-59.0</v>
      </c>
      <c r="H432" s="2"/>
      <c r="I432" s="52" t="s">
        <v>269</v>
      </c>
      <c r="J432" s="2"/>
      <c r="K432" s="2"/>
    </row>
    <row r="433" ht="15.0" customHeight="1">
      <c r="A433" s="49">
        <v>45999.0</v>
      </c>
      <c r="B433" s="52" t="s">
        <v>711</v>
      </c>
      <c r="C433" s="52" t="s">
        <v>156</v>
      </c>
      <c r="D433" s="52" t="s">
        <v>267</v>
      </c>
      <c r="E433" s="52" t="s">
        <v>712</v>
      </c>
      <c r="F433" s="2"/>
      <c r="G433" s="36">
        <v>-212.68</v>
      </c>
      <c r="H433" s="2"/>
      <c r="I433" s="52" t="s">
        <v>269</v>
      </c>
      <c r="J433" s="2"/>
      <c r="K433" s="2"/>
    </row>
    <row r="434" ht="15.0" customHeight="1">
      <c r="A434" s="49">
        <v>45999.0</v>
      </c>
      <c r="B434" s="52" t="s">
        <v>164</v>
      </c>
      <c r="C434" s="52" t="s">
        <v>27</v>
      </c>
      <c r="D434" s="52" t="s">
        <v>273</v>
      </c>
      <c r="E434" s="52" t="s">
        <v>274</v>
      </c>
      <c r="F434" s="2"/>
      <c r="G434" s="36">
        <v>-18.46</v>
      </c>
      <c r="H434" s="2"/>
      <c r="I434" s="52" t="s">
        <v>272</v>
      </c>
      <c r="J434" s="2"/>
      <c r="K434" s="2"/>
    </row>
    <row r="435" ht="15.0" customHeight="1">
      <c r="A435" s="49">
        <v>45999.0</v>
      </c>
      <c r="B435" s="52" t="s">
        <v>171</v>
      </c>
      <c r="C435" s="52" t="s">
        <v>26</v>
      </c>
      <c r="D435" s="52" t="s">
        <v>270</v>
      </c>
      <c r="E435" s="52" t="s">
        <v>439</v>
      </c>
      <c r="F435" s="2"/>
      <c r="G435" s="36">
        <v>-215.26</v>
      </c>
      <c r="H435" s="2"/>
      <c r="I435" s="52" t="s">
        <v>272</v>
      </c>
      <c r="J435" s="2"/>
      <c r="K435" s="2"/>
    </row>
    <row r="436" ht="15.0" customHeight="1">
      <c r="A436" s="49">
        <v>45999.0</v>
      </c>
      <c r="B436" s="52" t="s">
        <v>171</v>
      </c>
      <c r="C436" s="52" t="s">
        <v>26</v>
      </c>
      <c r="D436" s="52" t="s">
        <v>270</v>
      </c>
      <c r="E436" s="52" t="s">
        <v>439</v>
      </c>
      <c r="F436" s="2"/>
      <c r="G436" s="36">
        <v>-31.28</v>
      </c>
      <c r="H436" s="2"/>
      <c r="I436" s="52" t="s">
        <v>272</v>
      </c>
      <c r="J436" s="2"/>
      <c r="K436" s="2"/>
    </row>
    <row r="437" ht="15.0" customHeight="1">
      <c r="A437" s="49">
        <v>45999.0</v>
      </c>
      <c r="B437" s="52" t="s">
        <v>440</v>
      </c>
      <c r="C437" s="52" t="s">
        <v>292</v>
      </c>
      <c r="D437" s="52" t="s">
        <v>270</v>
      </c>
      <c r="E437" s="52" t="s">
        <v>441</v>
      </c>
      <c r="F437" s="2"/>
      <c r="G437" s="36">
        <v>-3.2</v>
      </c>
      <c r="H437" s="2"/>
      <c r="I437" s="52" t="s">
        <v>272</v>
      </c>
      <c r="J437" s="2"/>
      <c r="K437" s="2"/>
    </row>
    <row r="438" ht="15.0" customHeight="1">
      <c r="A438" s="49">
        <v>45998.0</v>
      </c>
      <c r="B438" s="52" t="s">
        <v>713</v>
      </c>
      <c r="C438" s="52" t="s">
        <v>27</v>
      </c>
      <c r="D438" s="52" t="s">
        <v>277</v>
      </c>
      <c r="E438" s="52" t="s">
        <v>714</v>
      </c>
      <c r="F438" s="2"/>
      <c r="G438" s="36">
        <v>-112.82</v>
      </c>
      <c r="H438" s="2"/>
      <c r="I438" s="52" t="s">
        <v>269</v>
      </c>
      <c r="J438" s="2"/>
      <c r="K438" s="2"/>
    </row>
    <row r="439" ht="15.0" customHeight="1">
      <c r="A439" s="49">
        <v>45998.0</v>
      </c>
      <c r="B439" s="52" t="s">
        <v>315</v>
      </c>
      <c r="C439" s="52" t="s">
        <v>26</v>
      </c>
      <c r="D439" s="52" t="s">
        <v>277</v>
      </c>
      <c r="E439" s="52" t="s">
        <v>316</v>
      </c>
      <c r="F439" s="2"/>
      <c r="G439" s="36">
        <v>-55.65</v>
      </c>
      <c r="H439" s="2"/>
      <c r="I439" s="52" t="s">
        <v>269</v>
      </c>
      <c r="J439" s="2"/>
      <c r="K439" s="2"/>
    </row>
    <row r="440" ht="15.0" customHeight="1">
      <c r="A440" s="49">
        <v>45998.0</v>
      </c>
      <c r="B440" s="52" t="s">
        <v>164</v>
      </c>
      <c r="C440" s="52" t="s">
        <v>27</v>
      </c>
      <c r="D440" s="52" t="s">
        <v>277</v>
      </c>
      <c r="E440" s="52" t="s">
        <v>715</v>
      </c>
      <c r="F440" s="2"/>
      <c r="G440" s="36">
        <v>-11.99</v>
      </c>
      <c r="H440" s="2"/>
      <c r="I440" s="52" t="s">
        <v>269</v>
      </c>
      <c r="J440" s="2"/>
      <c r="K440" s="2"/>
    </row>
    <row r="441" ht="15.0" customHeight="1">
      <c r="A441" s="49">
        <v>45998.0</v>
      </c>
      <c r="B441" s="52" t="s">
        <v>283</v>
      </c>
      <c r="C441" s="52" t="s">
        <v>154</v>
      </c>
      <c r="D441" s="52" t="s">
        <v>277</v>
      </c>
      <c r="E441" s="52" t="s">
        <v>716</v>
      </c>
      <c r="F441" s="2"/>
      <c r="G441" s="36">
        <v>-65.61</v>
      </c>
      <c r="H441" s="2"/>
      <c r="I441" s="52" t="s">
        <v>269</v>
      </c>
      <c r="J441" s="2"/>
      <c r="K441" s="2"/>
    </row>
    <row r="442" ht="15.0" customHeight="1">
      <c r="A442" s="49">
        <v>45998.0</v>
      </c>
      <c r="B442" s="52" t="s">
        <v>717</v>
      </c>
      <c r="C442" s="52" t="s">
        <v>675</v>
      </c>
      <c r="D442" s="52" t="s">
        <v>277</v>
      </c>
      <c r="E442" s="52" t="s">
        <v>718</v>
      </c>
      <c r="F442" s="2"/>
      <c r="G442" s="36">
        <v>-85.05</v>
      </c>
      <c r="H442" s="2"/>
      <c r="I442" s="52" t="s">
        <v>269</v>
      </c>
      <c r="J442" s="2"/>
      <c r="K442" s="2"/>
    </row>
    <row r="443" ht="15.0" customHeight="1">
      <c r="A443" s="49">
        <v>45998.0</v>
      </c>
      <c r="B443" s="52" t="s">
        <v>164</v>
      </c>
      <c r="C443" s="52" t="s">
        <v>27</v>
      </c>
      <c r="D443" s="52" t="s">
        <v>273</v>
      </c>
      <c r="E443" s="52" t="s">
        <v>364</v>
      </c>
      <c r="F443" s="2"/>
      <c r="G443" s="36">
        <v>-92.53</v>
      </c>
      <c r="H443" s="2"/>
      <c r="I443" s="52" t="s">
        <v>272</v>
      </c>
      <c r="J443" s="2"/>
      <c r="K443" s="2"/>
    </row>
    <row r="444" ht="15.0" customHeight="1">
      <c r="A444" s="49">
        <v>45997.0</v>
      </c>
      <c r="B444" s="52" t="s">
        <v>165</v>
      </c>
      <c r="C444" s="52" t="s">
        <v>28</v>
      </c>
      <c r="D444" s="52" t="s">
        <v>277</v>
      </c>
      <c r="E444" s="52" t="s">
        <v>313</v>
      </c>
      <c r="F444" s="2"/>
      <c r="G444" s="36">
        <v>-71.22</v>
      </c>
      <c r="H444" s="2"/>
      <c r="I444" s="52" t="s">
        <v>269</v>
      </c>
      <c r="J444" s="2"/>
      <c r="K444" s="2"/>
    </row>
    <row r="445" ht="15.0" customHeight="1">
      <c r="A445" s="49">
        <v>45997.0</v>
      </c>
      <c r="B445" s="52" t="s">
        <v>719</v>
      </c>
      <c r="C445" s="52" t="s">
        <v>156</v>
      </c>
      <c r="D445" s="52" t="s">
        <v>277</v>
      </c>
      <c r="E445" s="52" t="s">
        <v>720</v>
      </c>
      <c r="F445" s="2"/>
      <c r="G445" s="36">
        <v>-64.03</v>
      </c>
      <c r="H445" s="2"/>
      <c r="I445" s="52" t="s">
        <v>269</v>
      </c>
      <c r="J445" s="2"/>
      <c r="K445" s="2"/>
    </row>
    <row r="446" ht="15.0" customHeight="1">
      <c r="A446" s="49">
        <v>45997.0</v>
      </c>
      <c r="B446" s="52" t="s">
        <v>321</v>
      </c>
      <c r="C446" s="52" t="s">
        <v>152</v>
      </c>
      <c r="D446" s="52" t="s">
        <v>270</v>
      </c>
      <c r="E446" s="52" t="s">
        <v>323</v>
      </c>
      <c r="F446" s="2"/>
      <c r="G446" s="36">
        <v>-28.29</v>
      </c>
      <c r="H446" s="2"/>
      <c r="I446" s="52" t="s">
        <v>272</v>
      </c>
      <c r="J446" s="2"/>
      <c r="K446" s="2"/>
    </row>
    <row r="447" ht="15.0" customHeight="1">
      <c r="A447" s="49">
        <v>45996.0</v>
      </c>
      <c r="B447" s="52" t="s">
        <v>164</v>
      </c>
      <c r="C447" s="52" t="s">
        <v>27</v>
      </c>
      <c r="D447" s="52" t="s">
        <v>277</v>
      </c>
      <c r="E447" s="52" t="s">
        <v>274</v>
      </c>
      <c r="F447" s="2"/>
      <c r="G447" s="36">
        <v>-43.45</v>
      </c>
      <c r="H447" s="2"/>
      <c r="I447" s="52" t="s">
        <v>269</v>
      </c>
      <c r="J447" s="2"/>
      <c r="K447" s="2"/>
    </row>
    <row r="448" ht="15.0" customHeight="1">
      <c r="A448" s="49">
        <v>45996.0</v>
      </c>
      <c r="B448" s="52" t="s">
        <v>164</v>
      </c>
      <c r="C448" s="52" t="s">
        <v>27</v>
      </c>
      <c r="D448" s="52" t="s">
        <v>277</v>
      </c>
      <c r="E448" s="52" t="s">
        <v>274</v>
      </c>
      <c r="F448" s="2"/>
      <c r="G448" s="36">
        <v>-32.66</v>
      </c>
      <c r="H448" s="2"/>
      <c r="I448" s="52" t="s">
        <v>269</v>
      </c>
      <c r="J448" s="2"/>
      <c r="K448" s="2"/>
    </row>
    <row r="449" ht="15.0" customHeight="1">
      <c r="A449" s="49">
        <v>45996.0</v>
      </c>
      <c r="B449" s="52" t="s">
        <v>520</v>
      </c>
      <c r="C449" s="52" t="s">
        <v>455</v>
      </c>
      <c r="D449" s="52" t="s">
        <v>267</v>
      </c>
      <c r="E449" s="52" t="s">
        <v>721</v>
      </c>
      <c r="F449" s="2"/>
      <c r="G449" s="36">
        <v>-105.11</v>
      </c>
      <c r="H449" s="2"/>
      <c r="I449" s="52" t="s">
        <v>269</v>
      </c>
      <c r="J449" s="2"/>
      <c r="K449" s="2"/>
    </row>
    <row r="450" ht="15.0" customHeight="1">
      <c r="A450" s="49">
        <v>45996.0</v>
      </c>
      <c r="B450" s="52" t="s">
        <v>319</v>
      </c>
      <c r="C450" s="52" t="s">
        <v>28</v>
      </c>
      <c r="D450" s="52" t="s">
        <v>267</v>
      </c>
      <c r="E450" s="52" t="s">
        <v>722</v>
      </c>
      <c r="F450" s="2"/>
      <c r="G450" s="36">
        <v>-23.31</v>
      </c>
      <c r="H450" s="2"/>
      <c r="I450" s="52" t="s">
        <v>269</v>
      </c>
      <c r="J450" s="2"/>
      <c r="K450" s="2"/>
    </row>
    <row r="451" ht="15.0" customHeight="1">
      <c r="A451" s="49">
        <v>45996.0</v>
      </c>
      <c r="B451" s="52" t="s">
        <v>411</v>
      </c>
      <c r="C451" s="52" t="s">
        <v>412</v>
      </c>
      <c r="D451" s="52" t="s">
        <v>267</v>
      </c>
      <c r="E451" s="52" t="s">
        <v>723</v>
      </c>
      <c r="F451" s="2"/>
      <c r="G451" s="36">
        <v>3817.56</v>
      </c>
      <c r="H451" s="2"/>
      <c r="I451" s="52" t="s">
        <v>269</v>
      </c>
      <c r="J451" s="2"/>
      <c r="K451" s="2"/>
    </row>
    <row r="452" ht="15.0" customHeight="1">
      <c r="A452" s="49">
        <v>45996.0</v>
      </c>
      <c r="B452" s="52" t="s">
        <v>166</v>
      </c>
      <c r="C452" s="52" t="s">
        <v>26</v>
      </c>
      <c r="D452" s="52" t="s">
        <v>270</v>
      </c>
      <c r="E452" s="52" t="s">
        <v>374</v>
      </c>
      <c r="F452" s="2"/>
      <c r="G452" s="36">
        <v>-30.19</v>
      </c>
      <c r="H452" s="2"/>
      <c r="I452" s="52" t="s">
        <v>272</v>
      </c>
      <c r="J452" s="2"/>
      <c r="K452" s="2"/>
    </row>
    <row r="453" ht="15.0" customHeight="1">
      <c r="A453" s="49">
        <v>45996.0</v>
      </c>
      <c r="B453" s="52" t="s">
        <v>166</v>
      </c>
      <c r="C453" s="52" t="s">
        <v>26</v>
      </c>
      <c r="D453" s="52" t="s">
        <v>270</v>
      </c>
      <c r="E453" s="52" t="s">
        <v>374</v>
      </c>
      <c r="F453" s="2"/>
      <c r="G453" s="36">
        <v>-19.07</v>
      </c>
      <c r="H453" s="2"/>
      <c r="I453" s="52" t="s">
        <v>272</v>
      </c>
      <c r="J453" s="2"/>
      <c r="K453" s="2"/>
    </row>
    <row r="454" ht="15.0" customHeight="1">
      <c r="A454" s="49">
        <v>45996.0</v>
      </c>
      <c r="B454" s="52" t="s">
        <v>724</v>
      </c>
      <c r="C454" s="52" t="s">
        <v>152</v>
      </c>
      <c r="D454" s="52" t="s">
        <v>270</v>
      </c>
      <c r="E454" s="52" t="s">
        <v>725</v>
      </c>
      <c r="F454" s="2"/>
      <c r="G454" s="36">
        <v>-2.05</v>
      </c>
      <c r="H454" s="2"/>
      <c r="I454" s="52" t="s">
        <v>272</v>
      </c>
      <c r="J454" s="2"/>
      <c r="K454" s="2"/>
    </row>
    <row r="455" ht="15.0" customHeight="1">
      <c r="A455" s="49">
        <v>45996.0</v>
      </c>
      <c r="B455" s="52" t="s">
        <v>321</v>
      </c>
      <c r="C455" s="52" t="s">
        <v>152</v>
      </c>
      <c r="D455" s="52" t="s">
        <v>270</v>
      </c>
      <c r="E455" s="52" t="s">
        <v>323</v>
      </c>
      <c r="F455" s="2"/>
      <c r="G455" s="36">
        <v>-14.15</v>
      </c>
      <c r="H455" s="2"/>
      <c r="I455" s="52" t="s">
        <v>272</v>
      </c>
      <c r="J455" s="2"/>
      <c r="K455" s="2"/>
    </row>
    <row r="456" ht="15.0" customHeight="1">
      <c r="A456" s="49">
        <v>45996.0</v>
      </c>
      <c r="B456" s="52" t="s">
        <v>164</v>
      </c>
      <c r="C456" s="52" t="s">
        <v>27</v>
      </c>
      <c r="D456" s="52" t="s">
        <v>273</v>
      </c>
      <c r="E456" s="52" t="s">
        <v>274</v>
      </c>
      <c r="F456" s="2"/>
      <c r="G456" s="36">
        <v>-10.84</v>
      </c>
      <c r="H456" s="2"/>
      <c r="I456" s="52" t="s">
        <v>272</v>
      </c>
      <c r="J456" s="2"/>
      <c r="K456" s="2"/>
    </row>
    <row r="457" ht="15.0" customHeight="1">
      <c r="A457" s="49">
        <v>45996.0</v>
      </c>
      <c r="B457" s="52" t="s">
        <v>164</v>
      </c>
      <c r="C457" s="52" t="s">
        <v>27</v>
      </c>
      <c r="D457" s="52" t="s">
        <v>273</v>
      </c>
      <c r="E457" s="52" t="s">
        <v>274</v>
      </c>
      <c r="F457" s="2"/>
      <c r="G457" s="36">
        <v>-23.51</v>
      </c>
      <c r="H457" s="2"/>
      <c r="I457" s="52" t="s">
        <v>272</v>
      </c>
      <c r="J457" s="2"/>
      <c r="K457" s="2"/>
    </row>
    <row r="458" ht="15.0" customHeight="1">
      <c r="A458" s="49">
        <v>45995.0</v>
      </c>
      <c r="B458" s="52" t="s">
        <v>321</v>
      </c>
      <c r="C458" s="52" t="s">
        <v>152</v>
      </c>
      <c r="D458" s="52" t="s">
        <v>277</v>
      </c>
      <c r="E458" s="52" t="s">
        <v>323</v>
      </c>
      <c r="F458" s="2"/>
      <c r="G458" s="36">
        <v>-48.73</v>
      </c>
      <c r="H458" s="2"/>
      <c r="I458" s="52" t="s">
        <v>269</v>
      </c>
      <c r="J458" s="2"/>
      <c r="K458" s="2"/>
    </row>
    <row r="459" ht="15.0" customHeight="1">
      <c r="A459" s="49">
        <v>45995.0</v>
      </c>
      <c r="B459" s="52" t="s">
        <v>164</v>
      </c>
      <c r="C459" s="52" t="s">
        <v>27</v>
      </c>
      <c r="D459" s="52" t="s">
        <v>277</v>
      </c>
      <c r="E459" s="52" t="s">
        <v>364</v>
      </c>
      <c r="F459" s="2"/>
      <c r="G459" s="36">
        <v>-26.37</v>
      </c>
      <c r="H459" s="2"/>
      <c r="I459" s="52" t="s">
        <v>269</v>
      </c>
      <c r="J459" s="2"/>
      <c r="K459" s="2"/>
    </row>
    <row r="460" ht="15.0" customHeight="1">
      <c r="A460" s="49">
        <v>45995.0</v>
      </c>
      <c r="B460" s="52" t="s">
        <v>333</v>
      </c>
      <c r="C460" s="52" t="s">
        <v>158</v>
      </c>
      <c r="D460" s="52" t="s">
        <v>267</v>
      </c>
      <c r="E460" s="52" t="s">
        <v>726</v>
      </c>
      <c r="F460" s="2"/>
      <c r="G460" s="36">
        <v>-75.0</v>
      </c>
      <c r="H460" s="2"/>
      <c r="I460" s="52" t="s">
        <v>269</v>
      </c>
      <c r="J460" s="2"/>
      <c r="K460" s="2"/>
    </row>
    <row r="461" ht="15.0" customHeight="1">
      <c r="A461" s="49">
        <v>45995.0</v>
      </c>
      <c r="B461" s="52" t="s">
        <v>522</v>
      </c>
      <c r="C461" s="52" t="s">
        <v>370</v>
      </c>
      <c r="D461" s="52" t="s">
        <v>267</v>
      </c>
      <c r="E461" s="52" t="s">
        <v>727</v>
      </c>
      <c r="F461" s="2"/>
      <c r="G461" s="36">
        <v>-5.0</v>
      </c>
      <c r="H461" s="2"/>
      <c r="I461" s="52" t="s">
        <v>269</v>
      </c>
      <c r="J461" s="2"/>
      <c r="K461" s="2"/>
    </row>
    <row r="462" ht="15.0" customHeight="1">
      <c r="A462" s="49">
        <v>45995.0</v>
      </c>
      <c r="B462" s="52" t="s">
        <v>344</v>
      </c>
      <c r="C462" s="52" t="s">
        <v>153</v>
      </c>
      <c r="D462" s="52" t="s">
        <v>267</v>
      </c>
      <c r="E462" s="52" t="s">
        <v>728</v>
      </c>
      <c r="F462" s="2"/>
      <c r="G462" s="36">
        <v>-9.99</v>
      </c>
      <c r="H462" s="2"/>
      <c r="I462" s="52" t="s">
        <v>269</v>
      </c>
      <c r="J462" s="2"/>
      <c r="K462" s="2"/>
    </row>
    <row r="463" ht="15.0" customHeight="1">
      <c r="A463" s="49">
        <v>45995.0</v>
      </c>
      <c r="B463" s="52" t="s">
        <v>166</v>
      </c>
      <c r="C463" s="52" t="s">
        <v>26</v>
      </c>
      <c r="D463" s="52" t="s">
        <v>270</v>
      </c>
      <c r="E463" s="52" t="s">
        <v>374</v>
      </c>
      <c r="F463" s="2"/>
      <c r="G463" s="36">
        <v>-33.52</v>
      </c>
      <c r="H463" s="2"/>
      <c r="I463" s="52" t="s">
        <v>272</v>
      </c>
      <c r="J463" s="2"/>
      <c r="K463" s="2"/>
    </row>
    <row r="464" ht="15.0" customHeight="1">
      <c r="A464" s="49">
        <v>45995.0</v>
      </c>
      <c r="B464" s="52" t="s">
        <v>164</v>
      </c>
      <c r="C464" s="52" t="s">
        <v>27</v>
      </c>
      <c r="D464" s="52" t="s">
        <v>273</v>
      </c>
      <c r="E464" s="52" t="s">
        <v>274</v>
      </c>
      <c r="F464" s="2"/>
      <c r="G464" s="36">
        <v>-48.99</v>
      </c>
      <c r="H464" s="2"/>
      <c r="I464" s="52" t="s">
        <v>272</v>
      </c>
      <c r="J464" s="2"/>
      <c r="K464" s="2"/>
    </row>
    <row r="465" ht="15.0" customHeight="1">
      <c r="A465" s="49">
        <v>45995.0</v>
      </c>
      <c r="B465" s="52" t="s">
        <v>164</v>
      </c>
      <c r="C465" s="52" t="s">
        <v>27</v>
      </c>
      <c r="D465" s="52" t="s">
        <v>273</v>
      </c>
      <c r="E465" s="52" t="s">
        <v>274</v>
      </c>
      <c r="F465" s="2"/>
      <c r="G465" s="36">
        <v>-10.48</v>
      </c>
      <c r="H465" s="2"/>
      <c r="I465" s="52" t="s">
        <v>272</v>
      </c>
      <c r="J465" s="2"/>
      <c r="K465" s="2"/>
    </row>
    <row r="466" ht="15.0" customHeight="1">
      <c r="A466" s="49">
        <v>45995.0</v>
      </c>
      <c r="B466" s="52" t="s">
        <v>276</v>
      </c>
      <c r="C466" s="52" t="s">
        <v>153</v>
      </c>
      <c r="D466" s="52" t="s">
        <v>270</v>
      </c>
      <c r="E466" s="52" t="s">
        <v>278</v>
      </c>
      <c r="F466" s="2"/>
      <c r="G466" s="36">
        <v>-9.99</v>
      </c>
      <c r="H466" s="2"/>
      <c r="I466" s="52" t="s">
        <v>272</v>
      </c>
      <c r="J466" s="2"/>
      <c r="K466" s="2"/>
    </row>
    <row r="467" ht="15.0" customHeight="1">
      <c r="A467" s="49">
        <v>45995.0</v>
      </c>
      <c r="B467" s="52" t="s">
        <v>729</v>
      </c>
      <c r="C467" s="52" t="s">
        <v>370</v>
      </c>
      <c r="D467" s="52" t="s">
        <v>309</v>
      </c>
      <c r="E467" s="52" t="s">
        <v>729</v>
      </c>
      <c r="F467" s="2"/>
      <c r="G467" s="36">
        <v>15.42</v>
      </c>
      <c r="H467" s="2"/>
      <c r="I467" s="52" t="s">
        <v>272</v>
      </c>
      <c r="J467" s="2"/>
      <c r="K467" s="2"/>
    </row>
    <row r="468" ht="15.0" customHeight="1">
      <c r="A468" s="49">
        <v>45994.0</v>
      </c>
      <c r="B468" s="52" t="s">
        <v>164</v>
      </c>
      <c r="C468" s="52" t="s">
        <v>27</v>
      </c>
      <c r="D468" s="52" t="s">
        <v>277</v>
      </c>
      <c r="E468" s="52" t="s">
        <v>274</v>
      </c>
      <c r="F468" s="2"/>
      <c r="G468" s="36">
        <v>-13.71</v>
      </c>
      <c r="H468" s="2"/>
      <c r="I468" s="52" t="s">
        <v>269</v>
      </c>
      <c r="J468" s="2"/>
      <c r="K468" s="2"/>
    </row>
    <row r="469" ht="15.0" customHeight="1">
      <c r="A469" s="49">
        <v>45994.0</v>
      </c>
      <c r="B469" s="52" t="s">
        <v>517</v>
      </c>
      <c r="C469" s="52" t="s">
        <v>518</v>
      </c>
      <c r="D469" s="52" t="s">
        <v>267</v>
      </c>
      <c r="E469" s="52" t="s">
        <v>730</v>
      </c>
      <c r="F469" s="2"/>
      <c r="G469" s="36">
        <v>-2942.31</v>
      </c>
      <c r="H469" s="2"/>
      <c r="I469" s="52" t="s">
        <v>269</v>
      </c>
      <c r="J469" s="2"/>
      <c r="K469" s="2"/>
    </row>
    <row r="470" ht="15.0" customHeight="1">
      <c r="A470" s="49">
        <v>45994.0</v>
      </c>
      <c r="B470" s="52" t="s">
        <v>525</v>
      </c>
      <c r="C470" s="52" t="s">
        <v>27</v>
      </c>
      <c r="D470" s="52" t="s">
        <v>267</v>
      </c>
      <c r="E470" s="52" t="s">
        <v>731</v>
      </c>
      <c r="F470" s="2"/>
      <c r="G470" s="36">
        <v>-8.7</v>
      </c>
      <c r="H470" s="2"/>
      <c r="I470" s="52" t="s">
        <v>269</v>
      </c>
      <c r="J470" s="2"/>
      <c r="K470" s="2"/>
    </row>
    <row r="471" ht="15.0" customHeight="1">
      <c r="A471" s="49">
        <v>45994.0</v>
      </c>
      <c r="B471" s="52" t="s">
        <v>301</v>
      </c>
      <c r="C471" s="52" t="s">
        <v>437</v>
      </c>
      <c r="D471" s="52" t="s">
        <v>296</v>
      </c>
      <c r="E471" s="52" t="s">
        <v>732</v>
      </c>
      <c r="F471" s="2"/>
      <c r="G471" s="36">
        <v>-1900.0</v>
      </c>
      <c r="H471" s="2"/>
      <c r="I471" s="52" t="s">
        <v>272</v>
      </c>
      <c r="J471" s="2"/>
      <c r="K471" s="2"/>
    </row>
    <row r="472" ht="15.0" customHeight="1">
      <c r="A472" s="49">
        <v>45994.0</v>
      </c>
      <c r="B472" s="52" t="s">
        <v>301</v>
      </c>
      <c r="C472" s="52" t="s">
        <v>437</v>
      </c>
      <c r="D472" s="52" t="s">
        <v>296</v>
      </c>
      <c r="E472" s="52" t="s">
        <v>732</v>
      </c>
      <c r="F472" s="2"/>
      <c r="G472" s="36">
        <v>-1668.38</v>
      </c>
      <c r="H472" s="2"/>
      <c r="I472" s="52" t="s">
        <v>272</v>
      </c>
      <c r="J472" s="2"/>
      <c r="K472" s="2"/>
    </row>
    <row r="473" ht="15.0" customHeight="1">
      <c r="A473" s="49">
        <v>45994.0</v>
      </c>
      <c r="B473" s="52" t="s">
        <v>733</v>
      </c>
      <c r="C473" s="52" t="s">
        <v>437</v>
      </c>
      <c r="D473" s="52" t="s">
        <v>296</v>
      </c>
      <c r="E473" s="52" t="s">
        <v>734</v>
      </c>
      <c r="F473" s="2"/>
      <c r="G473" s="36">
        <v>-128.15</v>
      </c>
      <c r="H473" s="2"/>
      <c r="I473" s="52" t="s">
        <v>272</v>
      </c>
      <c r="J473" s="2"/>
      <c r="K473" s="2"/>
    </row>
    <row r="474" ht="15.0" customHeight="1">
      <c r="A474" s="49">
        <v>45994.0</v>
      </c>
      <c r="B474" s="52" t="s">
        <v>166</v>
      </c>
      <c r="C474" s="52" t="s">
        <v>26</v>
      </c>
      <c r="D474" s="52" t="s">
        <v>270</v>
      </c>
      <c r="E474" s="52" t="s">
        <v>374</v>
      </c>
      <c r="F474" s="2"/>
      <c r="G474" s="36">
        <v>-62.36</v>
      </c>
      <c r="H474" s="2"/>
      <c r="I474" s="52" t="s">
        <v>272</v>
      </c>
      <c r="J474" s="2"/>
      <c r="K474" s="2"/>
    </row>
    <row r="475" ht="15.0" customHeight="1">
      <c r="A475" s="49">
        <v>45994.0</v>
      </c>
      <c r="B475" s="52" t="s">
        <v>164</v>
      </c>
      <c r="C475" s="52" t="s">
        <v>27</v>
      </c>
      <c r="D475" s="52" t="s">
        <v>273</v>
      </c>
      <c r="E475" s="52" t="s">
        <v>364</v>
      </c>
      <c r="F475" s="2"/>
      <c r="G475" s="36">
        <v>-22.84</v>
      </c>
      <c r="H475" s="2"/>
      <c r="I475" s="52" t="s">
        <v>272</v>
      </c>
      <c r="J475" s="2"/>
      <c r="K475" s="2"/>
    </row>
    <row r="476" ht="15.0" customHeight="1">
      <c r="A476" s="49">
        <v>45993.0</v>
      </c>
      <c r="B476" s="52" t="s">
        <v>164</v>
      </c>
      <c r="C476" s="52" t="s">
        <v>27</v>
      </c>
      <c r="D476" s="52" t="s">
        <v>277</v>
      </c>
      <c r="E476" s="52" t="s">
        <v>364</v>
      </c>
      <c r="F476" s="2"/>
      <c r="G476" s="36">
        <v>-10.85</v>
      </c>
      <c r="H476" s="2"/>
      <c r="I476" s="52" t="s">
        <v>269</v>
      </c>
      <c r="J476" s="2"/>
      <c r="K476" s="2"/>
    </row>
    <row r="477" ht="15.0" customHeight="1">
      <c r="A477" s="49">
        <v>45993.0</v>
      </c>
      <c r="B477" s="52" t="s">
        <v>164</v>
      </c>
      <c r="C477" s="52" t="s">
        <v>27</v>
      </c>
      <c r="D477" s="52" t="s">
        <v>277</v>
      </c>
      <c r="E477" s="52" t="s">
        <v>274</v>
      </c>
      <c r="F477" s="2"/>
      <c r="G477" s="36">
        <v>-33.08</v>
      </c>
      <c r="H477" s="2"/>
      <c r="I477" s="52" t="s">
        <v>269</v>
      </c>
      <c r="J477" s="2"/>
      <c r="K477" s="2"/>
    </row>
    <row r="478" ht="15.0" customHeight="1">
      <c r="A478" s="49">
        <v>45993.0</v>
      </c>
      <c r="B478" s="52" t="s">
        <v>164</v>
      </c>
      <c r="C478" s="52" t="s">
        <v>27</v>
      </c>
      <c r="D478" s="52" t="s">
        <v>277</v>
      </c>
      <c r="E478" s="52" t="s">
        <v>274</v>
      </c>
      <c r="F478" s="2"/>
      <c r="G478" s="36">
        <v>-154.1</v>
      </c>
      <c r="H478" s="2"/>
      <c r="I478" s="52" t="s">
        <v>269</v>
      </c>
      <c r="J478" s="2"/>
      <c r="K478" s="2"/>
    </row>
    <row r="479" ht="15.0" customHeight="1">
      <c r="A479" s="49">
        <v>45993.0</v>
      </c>
      <c r="B479" s="52" t="s">
        <v>735</v>
      </c>
      <c r="C479" s="52" t="s">
        <v>27</v>
      </c>
      <c r="D479" s="52" t="s">
        <v>267</v>
      </c>
      <c r="E479" s="52" t="s">
        <v>736</v>
      </c>
      <c r="F479" s="2"/>
      <c r="G479" s="36">
        <v>-98.33</v>
      </c>
      <c r="H479" s="2"/>
      <c r="I479" s="52" t="s">
        <v>269</v>
      </c>
      <c r="J479" s="2"/>
      <c r="K479" s="2"/>
    </row>
    <row r="480" ht="15.0" customHeight="1">
      <c r="A480" s="49">
        <v>45993.0</v>
      </c>
      <c r="B480" s="52" t="s">
        <v>737</v>
      </c>
      <c r="C480" s="52" t="s">
        <v>27</v>
      </c>
      <c r="D480" s="52" t="s">
        <v>267</v>
      </c>
      <c r="E480" s="52" t="s">
        <v>738</v>
      </c>
      <c r="F480" s="2"/>
      <c r="G480" s="36">
        <v>-125.47</v>
      </c>
      <c r="H480" s="2"/>
      <c r="I480" s="52" t="s">
        <v>269</v>
      </c>
      <c r="J480" s="2"/>
      <c r="K480" s="2"/>
    </row>
    <row r="481" ht="15.0" customHeight="1">
      <c r="A481" s="49">
        <v>45993.0</v>
      </c>
      <c r="B481" s="52" t="s">
        <v>739</v>
      </c>
      <c r="C481" s="52" t="s">
        <v>27</v>
      </c>
      <c r="D481" s="52" t="s">
        <v>267</v>
      </c>
      <c r="E481" s="52" t="s">
        <v>740</v>
      </c>
      <c r="F481" s="2"/>
      <c r="G481" s="36">
        <v>-163.33</v>
      </c>
      <c r="H481" s="2"/>
      <c r="I481" s="52" t="s">
        <v>269</v>
      </c>
      <c r="J481" s="2"/>
      <c r="K481" s="2"/>
    </row>
    <row r="482" ht="15.0" customHeight="1">
      <c r="A482" s="49">
        <v>45993.0</v>
      </c>
      <c r="B482" s="52" t="s">
        <v>164</v>
      </c>
      <c r="C482" s="52" t="s">
        <v>27</v>
      </c>
      <c r="D482" s="52" t="s">
        <v>273</v>
      </c>
      <c r="E482" s="52" t="s">
        <v>364</v>
      </c>
      <c r="F482" s="2"/>
      <c r="G482" s="36">
        <v>-26.13</v>
      </c>
      <c r="H482" s="2"/>
      <c r="I482" s="52" t="s">
        <v>272</v>
      </c>
      <c r="J482" s="2"/>
      <c r="K482" s="2"/>
    </row>
    <row r="483" ht="15.0" customHeight="1">
      <c r="A483" s="49">
        <v>45993.0</v>
      </c>
      <c r="B483" s="52" t="s">
        <v>164</v>
      </c>
      <c r="C483" s="52" t="s">
        <v>27</v>
      </c>
      <c r="D483" s="52" t="s">
        <v>273</v>
      </c>
      <c r="E483" s="52" t="s">
        <v>274</v>
      </c>
      <c r="F483" s="2"/>
      <c r="G483" s="36">
        <v>-76.22</v>
      </c>
      <c r="H483" s="2"/>
      <c r="I483" s="52" t="s">
        <v>272</v>
      </c>
      <c r="J483" s="2"/>
      <c r="K483" s="2"/>
    </row>
    <row r="484" ht="15.0" customHeight="1">
      <c r="A484" s="49">
        <v>45993.0</v>
      </c>
      <c r="B484" s="52" t="s">
        <v>283</v>
      </c>
      <c r="C484" s="52" t="s">
        <v>154</v>
      </c>
      <c r="D484" s="52" t="s">
        <v>270</v>
      </c>
      <c r="E484" s="52" t="s">
        <v>298</v>
      </c>
      <c r="F484" s="2"/>
      <c r="G484" s="36">
        <v>-37.86</v>
      </c>
      <c r="H484" s="2"/>
      <c r="I484" s="52" t="s">
        <v>272</v>
      </c>
      <c r="J484" s="2"/>
      <c r="K484" s="2"/>
    </row>
    <row r="485" ht="15.0" customHeight="1">
      <c r="A485" s="49">
        <v>45993.0</v>
      </c>
      <c r="B485" s="52" t="s">
        <v>447</v>
      </c>
      <c r="C485" s="52" t="s">
        <v>437</v>
      </c>
      <c r="D485" s="52" t="s">
        <v>270</v>
      </c>
      <c r="E485" s="52" t="s">
        <v>448</v>
      </c>
      <c r="F485" s="2"/>
      <c r="G485" s="36">
        <v>1900.0</v>
      </c>
      <c r="H485" s="2"/>
      <c r="I485" s="52" t="s">
        <v>272</v>
      </c>
      <c r="J485" s="2"/>
      <c r="K485" s="2"/>
    </row>
    <row r="486" ht="15.0" customHeight="1">
      <c r="A486" s="49">
        <v>45993.0</v>
      </c>
      <c r="B486" s="52" t="s">
        <v>447</v>
      </c>
      <c r="C486" s="52" t="s">
        <v>437</v>
      </c>
      <c r="D486" s="52" t="s">
        <v>273</v>
      </c>
      <c r="E486" s="52" t="s">
        <v>448</v>
      </c>
      <c r="F486" s="2"/>
      <c r="G486" s="36">
        <v>1668.38</v>
      </c>
      <c r="H486" s="2"/>
      <c r="I486" s="52" t="s">
        <v>272</v>
      </c>
      <c r="J486" s="2"/>
      <c r="K486" s="2"/>
    </row>
    <row r="487" ht="15.0" customHeight="1">
      <c r="A487" s="49">
        <v>45993.0</v>
      </c>
      <c r="B487" s="52" t="s">
        <v>164</v>
      </c>
      <c r="C487" s="52" t="s">
        <v>27</v>
      </c>
      <c r="D487" s="52" t="s">
        <v>273</v>
      </c>
      <c r="E487" s="52" t="s">
        <v>274</v>
      </c>
      <c r="F487" s="2"/>
      <c r="G487" s="36">
        <v>-14.77</v>
      </c>
      <c r="H487" s="2"/>
      <c r="I487" s="52" t="s">
        <v>272</v>
      </c>
      <c r="J487" s="2"/>
      <c r="K487" s="2"/>
    </row>
    <row r="488" ht="15.0" customHeight="1">
      <c r="A488" s="49">
        <v>45993.0</v>
      </c>
      <c r="B488" s="52" t="s">
        <v>547</v>
      </c>
      <c r="C488" s="52" t="s">
        <v>153</v>
      </c>
      <c r="D488" s="52" t="s">
        <v>296</v>
      </c>
      <c r="E488" s="52" t="s">
        <v>548</v>
      </c>
      <c r="F488" s="2"/>
      <c r="G488" s="36">
        <v>-24.99</v>
      </c>
      <c r="H488" s="2"/>
      <c r="I488" s="52" t="s">
        <v>272</v>
      </c>
      <c r="J488" s="2"/>
      <c r="K488" s="2"/>
    </row>
    <row r="489" ht="15.0" customHeight="1">
      <c r="A489" s="49">
        <v>45993.0</v>
      </c>
      <c r="B489" s="52" t="s">
        <v>733</v>
      </c>
      <c r="C489" s="52" t="s">
        <v>437</v>
      </c>
      <c r="D489" s="52" t="s">
        <v>353</v>
      </c>
      <c r="E489" s="52" t="s">
        <v>741</v>
      </c>
      <c r="F489" s="2"/>
      <c r="G489" s="36">
        <v>128.15</v>
      </c>
      <c r="H489" s="2"/>
      <c r="I489" s="52" t="s">
        <v>272</v>
      </c>
      <c r="J489" s="2"/>
      <c r="K489" s="2"/>
    </row>
    <row r="490" ht="15.0" customHeight="1">
      <c r="A490" s="49">
        <v>45993.0</v>
      </c>
      <c r="B490" s="52" t="s">
        <v>186</v>
      </c>
      <c r="C490" s="52" t="s">
        <v>289</v>
      </c>
      <c r="D490" s="52" t="s">
        <v>296</v>
      </c>
      <c r="E490" s="52" t="s">
        <v>533</v>
      </c>
      <c r="F490" s="2"/>
      <c r="G490" s="36">
        <v>-5.0</v>
      </c>
      <c r="H490" s="2"/>
      <c r="I490" s="52" t="s">
        <v>272</v>
      </c>
      <c r="J490" s="2"/>
      <c r="K490" s="2"/>
    </row>
    <row r="491" ht="15.0" customHeight="1">
      <c r="A491" s="49">
        <v>45992.0</v>
      </c>
      <c r="B491" s="52" t="s">
        <v>165</v>
      </c>
      <c r="C491" s="52" t="s">
        <v>28</v>
      </c>
      <c r="D491" s="52" t="s">
        <v>277</v>
      </c>
      <c r="E491" s="52" t="s">
        <v>313</v>
      </c>
      <c r="F491" s="2"/>
      <c r="G491" s="36">
        <v>-78.23</v>
      </c>
      <c r="H491" s="2"/>
      <c r="I491" s="52" t="s">
        <v>269</v>
      </c>
      <c r="J491" s="2"/>
      <c r="K491" s="2"/>
    </row>
    <row r="492" ht="15.0" customHeight="1">
      <c r="A492" s="49">
        <v>45992.0</v>
      </c>
      <c r="B492" s="52" t="s">
        <v>447</v>
      </c>
      <c r="C492" s="52" t="s">
        <v>437</v>
      </c>
      <c r="D492" s="52" t="s">
        <v>277</v>
      </c>
      <c r="E492" s="52" t="s">
        <v>448</v>
      </c>
      <c r="F492" s="2"/>
      <c r="G492" s="36">
        <v>10299.55</v>
      </c>
      <c r="H492" s="2"/>
      <c r="I492" s="52" t="s">
        <v>269</v>
      </c>
      <c r="J492" s="2"/>
      <c r="K492" s="2"/>
    </row>
    <row r="493" ht="15.0" customHeight="1">
      <c r="A493" s="49">
        <v>45992.0</v>
      </c>
      <c r="B493" s="52" t="s">
        <v>742</v>
      </c>
      <c r="C493" s="52" t="s">
        <v>27</v>
      </c>
      <c r="D493" s="52" t="s">
        <v>277</v>
      </c>
      <c r="E493" s="52" t="s">
        <v>743</v>
      </c>
      <c r="F493" s="2"/>
      <c r="G493" s="36">
        <v>-101.18</v>
      </c>
      <c r="H493" s="2"/>
      <c r="I493" s="52" t="s">
        <v>269</v>
      </c>
      <c r="J493" s="2"/>
      <c r="K493" s="2"/>
    </row>
    <row r="494" ht="15.0" customHeight="1">
      <c r="A494" s="49">
        <v>45992.0</v>
      </c>
      <c r="B494" s="52" t="s">
        <v>428</v>
      </c>
      <c r="C494" s="52" t="s">
        <v>26</v>
      </c>
      <c r="D494" s="52" t="s">
        <v>277</v>
      </c>
      <c r="E494" s="52" t="s">
        <v>707</v>
      </c>
      <c r="F494" s="2"/>
      <c r="G494" s="36">
        <v>-44.68</v>
      </c>
      <c r="H494" s="2"/>
      <c r="I494" s="52" t="s">
        <v>269</v>
      </c>
      <c r="J494" s="2"/>
      <c r="K494" s="2"/>
    </row>
    <row r="495" ht="15.0" customHeight="1">
      <c r="A495" s="49">
        <v>45992.0</v>
      </c>
      <c r="B495" s="52" t="s">
        <v>164</v>
      </c>
      <c r="C495" s="52" t="s">
        <v>27</v>
      </c>
      <c r="D495" s="52" t="s">
        <v>277</v>
      </c>
      <c r="E495" s="52" t="s">
        <v>364</v>
      </c>
      <c r="F495" s="2"/>
      <c r="G495" s="36">
        <v>-61.3</v>
      </c>
      <c r="H495" s="2"/>
      <c r="I495" s="52" t="s">
        <v>269</v>
      </c>
      <c r="J495" s="2"/>
      <c r="K495" s="2"/>
    </row>
    <row r="496" ht="15.0" customHeight="1">
      <c r="A496" s="49">
        <v>45992.0</v>
      </c>
      <c r="B496" s="52" t="s">
        <v>164</v>
      </c>
      <c r="C496" s="52" t="s">
        <v>27</v>
      </c>
      <c r="D496" s="52" t="s">
        <v>277</v>
      </c>
      <c r="E496" s="52" t="s">
        <v>274</v>
      </c>
      <c r="F496" s="2"/>
      <c r="G496" s="36">
        <v>-26.12</v>
      </c>
      <c r="H496" s="2"/>
      <c r="I496" s="52" t="s">
        <v>269</v>
      </c>
      <c r="J496" s="2"/>
      <c r="K496" s="2"/>
    </row>
    <row r="497" ht="15.0" customHeight="1">
      <c r="A497" s="49">
        <v>45992.0</v>
      </c>
      <c r="B497" s="52" t="s">
        <v>301</v>
      </c>
      <c r="C497" s="52" t="s">
        <v>437</v>
      </c>
      <c r="D497" s="52" t="s">
        <v>267</v>
      </c>
      <c r="E497" s="52" t="s">
        <v>744</v>
      </c>
      <c r="F497" s="2"/>
      <c r="G497" s="36">
        <v>-10299.55</v>
      </c>
      <c r="H497" s="2"/>
      <c r="I497" s="52" t="s">
        <v>269</v>
      </c>
      <c r="J497" s="2"/>
      <c r="K497" s="2"/>
    </row>
    <row r="498" ht="15.0" customHeight="1">
      <c r="A498" s="49">
        <v>45992.0</v>
      </c>
      <c r="B498" s="52" t="s">
        <v>477</v>
      </c>
      <c r="C498" s="52" t="s">
        <v>289</v>
      </c>
      <c r="D498" s="52" t="s">
        <v>267</v>
      </c>
      <c r="E498" s="52" t="s">
        <v>745</v>
      </c>
      <c r="F498" s="2"/>
      <c r="G498" s="36">
        <v>-125.0</v>
      </c>
      <c r="H498" s="2"/>
      <c r="I498" s="52" t="s">
        <v>269</v>
      </c>
      <c r="J498" s="2"/>
      <c r="K498" s="2"/>
    </row>
    <row r="499" ht="15.0" customHeight="1">
      <c r="A499" s="49">
        <v>45992.0</v>
      </c>
      <c r="B499" s="52" t="s">
        <v>85</v>
      </c>
      <c r="C499" s="52" t="s">
        <v>127</v>
      </c>
      <c r="D499" s="52" t="s">
        <v>267</v>
      </c>
      <c r="E499" s="52" t="s">
        <v>746</v>
      </c>
      <c r="F499" s="2"/>
      <c r="G499" s="36">
        <v>-1024.11</v>
      </c>
      <c r="H499" s="2"/>
      <c r="I499" s="52" t="s">
        <v>269</v>
      </c>
      <c r="J499" s="2"/>
      <c r="K499" s="2"/>
    </row>
    <row r="500" ht="15.0" customHeight="1">
      <c r="A500" s="49">
        <v>45992.0</v>
      </c>
      <c r="B500" s="52" t="s">
        <v>620</v>
      </c>
      <c r="C500" s="52" t="s">
        <v>396</v>
      </c>
      <c r="D500" s="52" t="s">
        <v>267</v>
      </c>
      <c r="E500" s="52" t="s">
        <v>621</v>
      </c>
      <c r="F500" s="2"/>
      <c r="G500" s="36">
        <v>-340.3</v>
      </c>
      <c r="H500" s="2"/>
      <c r="I500" s="52" t="s">
        <v>269</v>
      </c>
      <c r="J500" s="2"/>
      <c r="K500" s="2"/>
    </row>
    <row r="501" ht="15.0" customHeight="1">
      <c r="A501" s="49">
        <v>45992.0</v>
      </c>
      <c r="B501" s="52" t="s">
        <v>747</v>
      </c>
      <c r="C501" s="52" t="s">
        <v>27</v>
      </c>
      <c r="D501" s="52" t="s">
        <v>267</v>
      </c>
      <c r="E501" s="52" t="s">
        <v>748</v>
      </c>
      <c r="F501" s="2"/>
      <c r="G501" s="36">
        <v>-3.42</v>
      </c>
      <c r="H501" s="2"/>
      <c r="I501" s="52" t="s">
        <v>269</v>
      </c>
      <c r="J501" s="2"/>
      <c r="K501" s="2"/>
    </row>
    <row r="502" ht="15.0" customHeight="1">
      <c r="A502" s="49">
        <v>45992.0</v>
      </c>
      <c r="B502" s="52" t="s">
        <v>747</v>
      </c>
      <c r="C502" s="52" t="s">
        <v>27</v>
      </c>
      <c r="D502" s="52" t="s">
        <v>267</v>
      </c>
      <c r="E502" s="52" t="s">
        <v>749</v>
      </c>
      <c r="F502" s="2"/>
      <c r="G502" s="36">
        <v>-8.03</v>
      </c>
      <c r="H502" s="2"/>
      <c r="I502" s="52" t="s">
        <v>269</v>
      </c>
      <c r="J502" s="2"/>
      <c r="K502" s="2"/>
    </row>
    <row r="503" ht="15.0" customHeight="1">
      <c r="A503" s="49">
        <v>45992.0</v>
      </c>
      <c r="B503" s="52" t="s">
        <v>750</v>
      </c>
      <c r="C503" s="52" t="s">
        <v>370</v>
      </c>
      <c r="D503" s="52" t="s">
        <v>267</v>
      </c>
      <c r="E503" s="52" t="s">
        <v>751</v>
      </c>
      <c r="F503" s="2"/>
      <c r="G503" s="36">
        <v>-11.46</v>
      </c>
      <c r="H503" s="2"/>
      <c r="I503" s="52" t="s">
        <v>269</v>
      </c>
      <c r="J503" s="2"/>
      <c r="K503" s="2"/>
    </row>
    <row r="504" ht="15.0" customHeight="1">
      <c r="A504" s="49">
        <v>45992.0</v>
      </c>
      <c r="B504" s="52" t="s">
        <v>416</v>
      </c>
      <c r="C504" s="52" t="s">
        <v>370</v>
      </c>
      <c r="D504" s="52" t="s">
        <v>267</v>
      </c>
      <c r="E504" s="52" t="s">
        <v>752</v>
      </c>
      <c r="F504" s="2"/>
      <c r="G504" s="36">
        <v>-34.79</v>
      </c>
      <c r="H504" s="2"/>
      <c r="I504" s="52" t="s">
        <v>269</v>
      </c>
      <c r="J504" s="2"/>
      <c r="K504" s="2"/>
    </row>
    <row r="505" ht="15.0" customHeight="1">
      <c r="A505" s="49">
        <v>45992.0</v>
      </c>
      <c r="B505" s="52" t="s">
        <v>753</v>
      </c>
      <c r="C505" s="52" t="s">
        <v>28</v>
      </c>
      <c r="D505" s="52" t="s">
        <v>267</v>
      </c>
      <c r="E505" s="52" t="s">
        <v>754</v>
      </c>
      <c r="F505" s="2"/>
      <c r="G505" s="36">
        <v>-35.83</v>
      </c>
      <c r="H505" s="2"/>
      <c r="I505" s="52" t="s">
        <v>269</v>
      </c>
      <c r="J505" s="2"/>
      <c r="K505" s="2"/>
    </row>
    <row r="506" ht="15.0" customHeight="1">
      <c r="A506" s="49">
        <v>45992.0</v>
      </c>
      <c r="B506" s="52" t="s">
        <v>755</v>
      </c>
      <c r="C506" s="52" t="s">
        <v>27</v>
      </c>
      <c r="D506" s="52" t="s">
        <v>267</v>
      </c>
      <c r="E506" s="52" t="s">
        <v>756</v>
      </c>
      <c r="F506" s="2"/>
      <c r="G506" s="36">
        <v>-155.0</v>
      </c>
      <c r="H506" s="2"/>
      <c r="I506" s="52" t="s">
        <v>269</v>
      </c>
      <c r="J506" s="2"/>
      <c r="K506" s="2"/>
    </row>
    <row r="507" ht="15.0" customHeight="1">
      <c r="A507" s="49">
        <v>45992.0</v>
      </c>
      <c r="B507" s="52" t="s">
        <v>757</v>
      </c>
      <c r="C507" s="52" t="s">
        <v>152</v>
      </c>
      <c r="D507" s="52" t="s">
        <v>267</v>
      </c>
      <c r="E507" s="52" t="s">
        <v>758</v>
      </c>
      <c r="F507" s="2"/>
      <c r="G507" s="36">
        <v>-3.85</v>
      </c>
      <c r="H507" s="2"/>
      <c r="I507" s="52" t="s">
        <v>269</v>
      </c>
      <c r="J507" s="2"/>
      <c r="K507" s="2"/>
    </row>
    <row r="508" ht="15.0" customHeight="1">
      <c r="A508" s="49">
        <v>45992.0</v>
      </c>
      <c r="B508" s="52" t="s">
        <v>575</v>
      </c>
      <c r="C508" s="52" t="s">
        <v>153</v>
      </c>
      <c r="D508" s="52" t="s">
        <v>267</v>
      </c>
      <c r="E508" s="52" t="s">
        <v>759</v>
      </c>
      <c r="F508" s="2"/>
      <c r="G508" s="36">
        <v>-10.88</v>
      </c>
      <c r="H508" s="2"/>
      <c r="I508" s="52" t="s">
        <v>269</v>
      </c>
      <c r="J508" s="2"/>
      <c r="K508" s="2"/>
    </row>
    <row r="509" ht="15.0" customHeight="1">
      <c r="A509" s="49">
        <v>45992.0</v>
      </c>
      <c r="B509" s="52" t="s">
        <v>760</v>
      </c>
      <c r="C509" s="52" t="s">
        <v>156</v>
      </c>
      <c r="D509" s="52" t="s">
        <v>267</v>
      </c>
      <c r="E509" s="52" t="s">
        <v>761</v>
      </c>
      <c r="F509" s="2"/>
      <c r="G509" s="36">
        <v>-108.21</v>
      </c>
      <c r="H509" s="2"/>
      <c r="I509" s="52" t="s">
        <v>269</v>
      </c>
      <c r="J509" s="2"/>
      <c r="K509" s="2"/>
    </row>
    <row r="510" ht="15.0" customHeight="1">
      <c r="A510" s="49">
        <v>45992.0</v>
      </c>
      <c r="B510" s="52" t="s">
        <v>477</v>
      </c>
      <c r="C510" s="52" t="s">
        <v>289</v>
      </c>
      <c r="D510" s="52" t="s">
        <v>267</v>
      </c>
      <c r="E510" s="52" t="s">
        <v>762</v>
      </c>
      <c r="F510" s="2"/>
      <c r="G510" s="36">
        <v>350.0</v>
      </c>
      <c r="H510" s="2"/>
      <c r="I510" s="52" t="s">
        <v>269</v>
      </c>
      <c r="J510" s="2"/>
      <c r="K510" s="2"/>
    </row>
    <row r="511" ht="15.0" customHeight="1">
      <c r="A511" s="49">
        <v>45992.0</v>
      </c>
      <c r="B511" s="52" t="s">
        <v>411</v>
      </c>
      <c r="C511" s="52" t="s">
        <v>412</v>
      </c>
      <c r="D511" s="52" t="s">
        <v>267</v>
      </c>
      <c r="E511" s="52" t="s">
        <v>763</v>
      </c>
      <c r="F511" s="2"/>
      <c r="G511" s="36">
        <v>23187.2</v>
      </c>
      <c r="H511" s="2"/>
      <c r="I511" s="52" t="s">
        <v>269</v>
      </c>
      <c r="J511" s="2"/>
      <c r="K511" s="2"/>
    </row>
    <row r="512" ht="15.0" customHeight="1">
      <c r="A512" s="49">
        <v>45992.0</v>
      </c>
      <c r="B512" s="52" t="s">
        <v>166</v>
      </c>
      <c r="C512" s="52" t="s">
        <v>26</v>
      </c>
      <c r="D512" s="52" t="s">
        <v>270</v>
      </c>
      <c r="E512" s="52" t="s">
        <v>374</v>
      </c>
      <c r="F512" s="2"/>
      <c r="G512" s="36">
        <v>-124.72</v>
      </c>
      <c r="H512" s="2"/>
      <c r="I512" s="52" t="s">
        <v>272</v>
      </c>
      <c r="J512" s="2"/>
      <c r="K512" s="2"/>
    </row>
    <row r="513" ht="15.0" customHeight="1">
      <c r="A513" s="49">
        <v>45992.0</v>
      </c>
      <c r="B513" s="52" t="s">
        <v>283</v>
      </c>
      <c r="C513" s="52" t="s">
        <v>154</v>
      </c>
      <c r="D513" s="52" t="s">
        <v>270</v>
      </c>
      <c r="E513" s="52" t="s">
        <v>298</v>
      </c>
      <c r="F513" s="2"/>
      <c r="G513" s="36">
        <v>-18.07</v>
      </c>
      <c r="H513" s="2"/>
      <c r="I513" s="52" t="s">
        <v>272</v>
      </c>
      <c r="J513" s="2"/>
      <c r="K513" s="2"/>
    </row>
    <row r="514" ht="15.0" customHeight="1">
      <c r="A514" s="49">
        <v>45992.0</v>
      </c>
      <c r="B514" s="52" t="s">
        <v>164</v>
      </c>
      <c r="C514" s="52" t="s">
        <v>27</v>
      </c>
      <c r="D514" s="52" t="s">
        <v>273</v>
      </c>
      <c r="E514" s="52" t="s">
        <v>364</v>
      </c>
      <c r="F514" s="2"/>
      <c r="G514" s="36">
        <v>-43.88</v>
      </c>
      <c r="H514" s="2"/>
      <c r="I514" s="52" t="s">
        <v>272</v>
      </c>
      <c r="J514" s="2"/>
      <c r="K514" s="2"/>
    </row>
    <row r="515" ht="15.0" customHeight="1">
      <c r="A515" s="49">
        <v>45992.0</v>
      </c>
      <c r="B515" s="52" t="s">
        <v>764</v>
      </c>
      <c r="C515" s="52" t="s">
        <v>28</v>
      </c>
      <c r="D515" s="52" t="s">
        <v>270</v>
      </c>
      <c r="E515" s="52" t="s">
        <v>765</v>
      </c>
      <c r="F515" s="2"/>
      <c r="G515" s="36">
        <v>-81.92</v>
      </c>
      <c r="H515" s="2"/>
      <c r="I515" s="52" t="s">
        <v>272</v>
      </c>
      <c r="J515" s="2"/>
      <c r="K515" s="2"/>
    </row>
    <row r="516" ht="15.0" customHeight="1">
      <c r="A516" s="49">
        <v>45992.0</v>
      </c>
      <c r="B516" s="52" t="s">
        <v>553</v>
      </c>
      <c r="C516" s="52" t="s">
        <v>455</v>
      </c>
      <c r="D516" s="52" t="s">
        <v>270</v>
      </c>
      <c r="E516" s="52" t="s">
        <v>554</v>
      </c>
      <c r="F516" s="2"/>
      <c r="G516" s="36">
        <v>-9.99</v>
      </c>
      <c r="H516" s="2"/>
      <c r="I516" s="52" t="s">
        <v>272</v>
      </c>
      <c r="J516" s="2"/>
      <c r="K516" s="2"/>
    </row>
    <row r="517" ht="15.0" customHeight="1">
      <c r="A517" s="49">
        <v>45992.0</v>
      </c>
      <c r="B517" s="52" t="s">
        <v>551</v>
      </c>
      <c r="C517" s="52" t="s">
        <v>455</v>
      </c>
      <c r="D517" s="52" t="s">
        <v>270</v>
      </c>
      <c r="E517" s="52" t="s">
        <v>766</v>
      </c>
      <c r="F517" s="2"/>
      <c r="G517" s="36">
        <v>-16.8</v>
      </c>
      <c r="H517" s="2"/>
      <c r="I517" s="52" t="s">
        <v>272</v>
      </c>
      <c r="J517" s="2"/>
      <c r="K517" s="2"/>
    </row>
    <row r="518" ht="15.0" customHeight="1">
      <c r="A518" s="49">
        <v>45992.0</v>
      </c>
      <c r="B518" s="52" t="s">
        <v>539</v>
      </c>
      <c r="C518" s="52" t="s">
        <v>157</v>
      </c>
      <c r="D518" s="52" t="s">
        <v>270</v>
      </c>
      <c r="E518" s="52" t="s">
        <v>767</v>
      </c>
      <c r="F518" s="2"/>
      <c r="G518" s="36">
        <v>-493.0</v>
      </c>
      <c r="H518" s="2"/>
      <c r="I518" s="52" t="s">
        <v>272</v>
      </c>
      <c r="J518" s="2"/>
      <c r="K518" s="2"/>
    </row>
    <row r="519" ht="15.0" customHeight="1">
      <c r="A519" s="49">
        <v>45992.0</v>
      </c>
      <c r="B519" s="52" t="s">
        <v>164</v>
      </c>
      <c r="C519" s="52" t="s">
        <v>27</v>
      </c>
      <c r="D519" s="52" t="s">
        <v>273</v>
      </c>
      <c r="E519" s="52" t="s">
        <v>274</v>
      </c>
      <c r="F519" s="2"/>
      <c r="G519" s="36">
        <v>-62.98</v>
      </c>
      <c r="H519" s="2"/>
      <c r="I519" s="52" t="s">
        <v>272</v>
      </c>
      <c r="J519" s="2"/>
      <c r="K519" s="2"/>
    </row>
    <row r="520" ht="15.0" customHeight="1">
      <c r="A520" s="49">
        <v>45992.0</v>
      </c>
      <c r="B520" s="52" t="s">
        <v>768</v>
      </c>
      <c r="C520" s="52" t="s">
        <v>455</v>
      </c>
      <c r="D520" s="52" t="s">
        <v>296</v>
      </c>
      <c r="E520" s="52" t="s">
        <v>769</v>
      </c>
      <c r="F520" s="2"/>
      <c r="G520" s="36">
        <v>-10.0</v>
      </c>
      <c r="H520" s="2"/>
      <c r="I520" s="52" t="s">
        <v>272</v>
      </c>
      <c r="J520" s="2"/>
      <c r="K520" s="2"/>
    </row>
    <row r="521" ht="15.0" customHeight="1">
      <c r="A521" s="49">
        <v>45991.0</v>
      </c>
      <c r="B521" s="52" t="s">
        <v>165</v>
      </c>
      <c r="C521" s="52" t="s">
        <v>28</v>
      </c>
      <c r="D521" s="52" t="s">
        <v>277</v>
      </c>
      <c r="E521" s="52" t="s">
        <v>313</v>
      </c>
      <c r="F521" s="2"/>
      <c r="G521" s="36">
        <v>-63.57</v>
      </c>
      <c r="H521" s="2"/>
      <c r="I521" s="52" t="s">
        <v>269</v>
      </c>
      <c r="J521" s="2"/>
      <c r="K521" s="2"/>
    </row>
    <row r="522" ht="15.0" customHeight="1">
      <c r="A522" s="49">
        <v>45991.0</v>
      </c>
      <c r="B522" s="52" t="s">
        <v>770</v>
      </c>
      <c r="C522" s="52" t="s">
        <v>26</v>
      </c>
      <c r="D522" s="52" t="s">
        <v>277</v>
      </c>
      <c r="E522" s="52" t="s">
        <v>771</v>
      </c>
      <c r="F522" s="2"/>
      <c r="G522" s="36">
        <v>-11.9</v>
      </c>
      <c r="H522" s="2"/>
      <c r="I522" s="52" t="s">
        <v>269</v>
      </c>
      <c r="J522" s="2"/>
      <c r="K522" s="2"/>
    </row>
    <row r="523" ht="15.0" customHeight="1">
      <c r="A523" s="49">
        <v>45991.0</v>
      </c>
      <c r="B523" s="52" t="s">
        <v>164</v>
      </c>
      <c r="C523" s="52" t="s">
        <v>27</v>
      </c>
      <c r="D523" s="52" t="s">
        <v>277</v>
      </c>
      <c r="E523" s="52" t="s">
        <v>364</v>
      </c>
      <c r="F523" s="2"/>
      <c r="G523" s="36">
        <v>-27.75</v>
      </c>
      <c r="H523" s="2"/>
      <c r="I523" s="52" t="s">
        <v>269</v>
      </c>
      <c r="J523" s="2"/>
      <c r="K523" s="2"/>
    </row>
    <row r="524" ht="15.0" customHeight="1">
      <c r="A524" s="49">
        <v>45991.0</v>
      </c>
      <c r="B524" s="52" t="s">
        <v>562</v>
      </c>
      <c r="C524" s="52" t="s">
        <v>563</v>
      </c>
      <c r="D524" s="52" t="s">
        <v>564</v>
      </c>
      <c r="E524" s="52" t="s">
        <v>565</v>
      </c>
      <c r="F524" s="2"/>
      <c r="G524" s="36">
        <v>0.04</v>
      </c>
      <c r="H524" s="2"/>
      <c r="I524" s="52" t="s">
        <v>269</v>
      </c>
      <c r="J524" s="2"/>
      <c r="K524" s="2"/>
    </row>
    <row r="525" ht="15.0" customHeight="1">
      <c r="A525" s="49">
        <v>45990.0</v>
      </c>
      <c r="B525" s="52" t="s">
        <v>164</v>
      </c>
      <c r="C525" s="52" t="s">
        <v>27</v>
      </c>
      <c r="D525" s="52" t="s">
        <v>273</v>
      </c>
      <c r="E525" s="52" t="s">
        <v>274</v>
      </c>
      <c r="F525" s="2"/>
      <c r="G525" s="36">
        <v>-148.09</v>
      </c>
      <c r="H525" s="2"/>
      <c r="I525" s="52" t="s">
        <v>272</v>
      </c>
      <c r="J525" s="2"/>
      <c r="K525" s="2"/>
    </row>
    <row r="526" ht="15.0" customHeight="1">
      <c r="A526" s="49">
        <v>45990.0</v>
      </c>
      <c r="B526" s="52" t="s">
        <v>164</v>
      </c>
      <c r="C526" s="52" t="s">
        <v>27</v>
      </c>
      <c r="D526" s="52" t="s">
        <v>273</v>
      </c>
      <c r="E526" s="52" t="s">
        <v>274</v>
      </c>
      <c r="F526" s="2"/>
      <c r="G526" s="36">
        <v>-34.0</v>
      </c>
      <c r="H526" s="2"/>
      <c r="I526" s="52" t="s">
        <v>272</v>
      </c>
      <c r="J526" s="2"/>
      <c r="K526" s="2"/>
    </row>
    <row r="527" ht="15.0" customHeight="1">
      <c r="A527" s="49">
        <v>45990.0</v>
      </c>
      <c r="B527" s="52" t="s">
        <v>276</v>
      </c>
      <c r="C527" s="52" t="s">
        <v>153</v>
      </c>
      <c r="D527" s="52" t="s">
        <v>273</v>
      </c>
      <c r="E527" s="52" t="s">
        <v>772</v>
      </c>
      <c r="F527" s="2"/>
      <c r="G527" s="36">
        <v>-2.99</v>
      </c>
      <c r="H527" s="2"/>
      <c r="I527" s="52" t="s">
        <v>272</v>
      </c>
      <c r="J527" s="2"/>
      <c r="K527" s="2"/>
    </row>
    <row r="528" ht="15.0" customHeight="1">
      <c r="A528" s="49">
        <v>45990.0</v>
      </c>
      <c r="B528" s="52" t="s">
        <v>315</v>
      </c>
      <c r="C528" s="52" t="s">
        <v>159</v>
      </c>
      <c r="D528" s="52" t="s">
        <v>270</v>
      </c>
      <c r="E528" s="52" t="s">
        <v>592</v>
      </c>
      <c r="F528" s="2"/>
      <c r="G528" s="36">
        <v>-18.5</v>
      </c>
      <c r="H528" s="2"/>
      <c r="I528" s="52" t="s">
        <v>272</v>
      </c>
      <c r="J528" s="2"/>
      <c r="K528" s="2"/>
    </row>
    <row r="529" ht="15.0" customHeight="1">
      <c r="A529" s="49">
        <v>45989.0</v>
      </c>
      <c r="B529" s="52" t="s">
        <v>773</v>
      </c>
      <c r="C529" s="52" t="s">
        <v>28</v>
      </c>
      <c r="D529" s="52" t="s">
        <v>277</v>
      </c>
      <c r="E529" s="52" t="s">
        <v>774</v>
      </c>
      <c r="F529" s="2"/>
      <c r="G529" s="36">
        <v>-36.34</v>
      </c>
      <c r="H529" s="2"/>
      <c r="I529" s="52" t="s">
        <v>269</v>
      </c>
      <c r="J529" s="2"/>
      <c r="K529" s="2"/>
    </row>
    <row r="530" ht="15.0" customHeight="1">
      <c r="A530" s="49">
        <v>45989.0</v>
      </c>
      <c r="B530" s="52" t="s">
        <v>164</v>
      </c>
      <c r="C530" s="52" t="s">
        <v>27</v>
      </c>
      <c r="D530" s="52" t="s">
        <v>277</v>
      </c>
      <c r="E530" s="52" t="s">
        <v>364</v>
      </c>
      <c r="F530" s="2"/>
      <c r="G530" s="36">
        <v>-68.29</v>
      </c>
      <c r="H530" s="2"/>
      <c r="I530" s="52" t="s">
        <v>269</v>
      </c>
      <c r="J530" s="2"/>
      <c r="K530" s="2"/>
    </row>
    <row r="531" ht="15.0" customHeight="1">
      <c r="A531" s="49">
        <v>45989.0</v>
      </c>
      <c r="B531" s="52" t="s">
        <v>164</v>
      </c>
      <c r="C531" s="52" t="s">
        <v>27</v>
      </c>
      <c r="D531" s="52" t="s">
        <v>277</v>
      </c>
      <c r="E531" s="52" t="s">
        <v>364</v>
      </c>
      <c r="F531" s="2"/>
      <c r="G531" s="36">
        <v>-34.29</v>
      </c>
      <c r="H531" s="2"/>
      <c r="I531" s="52" t="s">
        <v>269</v>
      </c>
      <c r="J531" s="2"/>
      <c r="K531" s="2"/>
    </row>
    <row r="532" ht="15.0" customHeight="1">
      <c r="A532" s="49">
        <v>45989.0</v>
      </c>
      <c r="B532" s="52" t="s">
        <v>164</v>
      </c>
      <c r="C532" s="52" t="s">
        <v>27</v>
      </c>
      <c r="D532" s="52" t="s">
        <v>277</v>
      </c>
      <c r="E532" s="52" t="s">
        <v>274</v>
      </c>
      <c r="F532" s="2"/>
      <c r="G532" s="36">
        <v>-7.6</v>
      </c>
      <c r="H532" s="2"/>
      <c r="I532" s="52" t="s">
        <v>269</v>
      </c>
      <c r="J532" s="2"/>
      <c r="K532" s="2"/>
    </row>
    <row r="533" ht="15.0" customHeight="1">
      <c r="A533" s="49">
        <v>45989.0</v>
      </c>
      <c r="B533" s="52" t="s">
        <v>283</v>
      </c>
      <c r="C533" s="52" t="s">
        <v>154</v>
      </c>
      <c r="D533" s="52" t="s">
        <v>267</v>
      </c>
      <c r="E533" s="52" t="s">
        <v>775</v>
      </c>
      <c r="F533" s="2"/>
      <c r="G533" s="36">
        <v>-62.22</v>
      </c>
      <c r="H533" s="2"/>
      <c r="I533" s="52" t="s">
        <v>269</v>
      </c>
      <c r="J533" s="2"/>
      <c r="K533" s="2"/>
    </row>
    <row r="534" ht="15.0" customHeight="1">
      <c r="A534" s="49">
        <v>45989.0</v>
      </c>
      <c r="B534" s="52" t="s">
        <v>91</v>
      </c>
      <c r="C534" s="52" t="s">
        <v>27</v>
      </c>
      <c r="D534" s="52" t="s">
        <v>267</v>
      </c>
      <c r="E534" s="52" t="s">
        <v>776</v>
      </c>
      <c r="F534" s="2"/>
      <c r="G534" s="36">
        <v>-10.99</v>
      </c>
      <c r="H534" s="2"/>
      <c r="I534" s="52" t="s">
        <v>269</v>
      </c>
      <c r="J534" s="2"/>
      <c r="K534" s="2"/>
    </row>
    <row r="535" ht="15.0" customHeight="1">
      <c r="A535" s="49">
        <v>45989.0</v>
      </c>
      <c r="B535" s="52" t="s">
        <v>777</v>
      </c>
      <c r="C535" s="52" t="s">
        <v>28</v>
      </c>
      <c r="D535" s="52" t="s">
        <v>267</v>
      </c>
      <c r="E535" s="52" t="s">
        <v>778</v>
      </c>
      <c r="F535" s="2"/>
      <c r="G535" s="36">
        <v>-42.97</v>
      </c>
      <c r="H535" s="2"/>
      <c r="I535" s="52" t="s">
        <v>269</v>
      </c>
      <c r="J535" s="2"/>
      <c r="K535" s="2"/>
    </row>
    <row r="536" ht="15.0" customHeight="1">
      <c r="A536" s="49">
        <v>45989.0</v>
      </c>
      <c r="B536" s="52" t="s">
        <v>572</v>
      </c>
      <c r="C536" s="52" t="s">
        <v>152</v>
      </c>
      <c r="D536" s="52" t="s">
        <v>267</v>
      </c>
      <c r="E536" s="52" t="s">
        <v>779</v>
      </c>
      <c r="F536" s="2"/>
      <c r="G536" s="36">
        <v>-44.87</v>
      </c>
      <c r="H536" s="2"/>
      <c r="I536" s="52" t="s">
        <v>269</v>
      </c>
      <c r="J536" s="2"/>
      <c r="K536" s="2"/>
    </row>
    <row r="537" ht="15.0" customHeight="1">
      <c r="A537" s="49">
        <v>45989.0</v>
      </c>
      <c r="B537" s="52" t="s">
        <v>572</v>
      </c>
      <c r="C537" s="52" t="s">
        <v>152</v>
      </c>
      <c r="D537" s="52" t="s">
        <v>267</v>
      </c>
      <c r="E537" s="52" t="s">
        <v>780</v>
      </c>
      <c r="F537" s="2"/>
      <c r="G537" s="36">
        <v>-12.79</v>
      </c>
      <c r="H537" s="2"/>
      <c r="I537" s="52" t="s">
        <v>269</v>
      </c>
      <c r="J537" s="2"/>
      <c r="K537" s="2"/>
    </row>
    <row r="538" ht="15.0" customHeight="1">
      <c r="A538" s="49">
        <v>45989.0</v>
      </c>
      <c r="B538" s="52" t="s">
        <v>280</v>
      </c>
      <c r="C538" s="52" t="s">
        <v>281</v>
      </c>
      <c r="D538" s="52" t="s">
        <v>267</v>
      </c>
      <c r="E538" s="52" t="s">
        <v>781</v>
      </c>
      <c r="F538" s="2"/>
      <c r="G538" s="36">
        <v>-24.99</v>
      </c>
      <c r="H538" s="2"/>
      <c r="I538" s="52" t="s">
        <v>269</v>
      </c>
      <c r="J538" s="2"/>
      <c r="K538" s="2"/>
    </row>
    <row r="539" ht="15.0" customHeight="1">
      <c r="A539" s="49">
        <v>45989.0</v>
      </c>
      <c r="B539" s="52" t="s">
        <v>782</v>
      </c>
      <c r="C539" s="52" t="s">
        <v>152</v>
      </c>
      <c r="D539" s="52" t="s">
        <v>270</v>
      </c>
      <c r="E539" s="52" t="s">
        <v>783</v>
      </c>
      <c r="F539" s="2"/>
      <c r="G539" s="36">
        <v>-26.99</v>
      </c>
      <c r="H539" s="2"/>
      <c r="I539" s="52" t="s">
        <v>272</v>
      </c>
      <c r="J539" s="2"/>
      <c r="K539" s="2"/>
    </row>
    <row r="540" ht="15.0" customHeight="1">
      <c r="A540" s="49">
        <v>45989.0</v>
      </c>
      <c r="B540" s="52" t="s">
        <v>773</v>
      </c>
      <c r="C540" s="52" t="s">
        <v>28</v>
      </c>
      <c r="D540" s="52" t="s">
        <v>270</v>
      </c>
      <c r="E540" s="52" t="s">
        <v>774</v>
      </c>
      <c r="F540" s="2"/>
      <c r="G540" s="36">
        <v>-40.28</v>
      </c>
      <c r="H540" s="2"/>
      <c r="I540" s="52" t="s">
        <v>272</v>
      </c>
      <c r="J540" s="2"/>
      <c r="K540" s="2"/>
    </row>
    <row r="541" ht="15.0" customHeight="1">
      <c r="A541" s="49">
        <v>45989.0</v>
      </c>
      <c r="B541" s="52" t="s">
        <v>566</v>
      </c>
      <c r="C541" s="52" t="s">
        <v>563</v>
      </c>
      <c r="D541" s="52" t="s">
        <v>296</v>
      </c>
      <c r="E541" s="52" t="s">
        <v>566</v>
      </c>
      <c r="F541" s="2"/>
      <c r="G541" s="36">
        <v>0.1</v>
      </c>
      <c r="H541" s="2"/>
      <c r="I541" s="52" t="s">
        <v>272</v>
      </c>
      <c r="J541" s="2"/>
      <c r="K541" s="2"/>
    </row>
    <row r="542" ht="15.0" customHeight="1">
      <c r="A542" s="49">
        <v>45989.0</v>
      </c>
      <c r="B542" s="52" t="s">
        <v>784</v>
      </c>
      <c r="C542" s="52" t="s">
        <v>308</v>
      </c>
      <c r="D542" s="52" t="s">
        <v>296</v>
      </c>
      <c r="E542" s="52" t="s">
        <v>784</v>
      </c>
      <c r="F542" s="2"/>
      <c r="G542" s="36">
        <v>4.0</v>
      </c>
      <c r="H542" s="2"/>
      <c r="I542" s="52" t="s">
        <v>272</v>
      </c>
      <c r="J542" s="2"/>
      <c r="K542" s="2"/>
    </row>
    <row r="543" ht="15.0" customHeight="1">
      <c r="A543" s="49">
        <v>45989.0</v>
      </c>
      <c r="B543" s="52" t="s">
        <v>785</v>
      </c>
      <c r="C543" s="52" t="s">
        <v>412</v>
      </c>
      <c r="D543" s="52" t="s">
        <v>296</v>
      </c>
      <c r="E543" s="52" t="s">
        <v>786</v>
      </c>
      <c r="F543" s="2"/>
      <c r="G543" s="36">
        <v>3217.33</v>
      </c>
      <c r="H543" s="2"/>
      <c r="I543" s="52" t="s">
        <v>272</v>
      </c>
      <c r="J543" s="2"/>
      <c r="K543" s="2"/>
    </row>
    <row r="544" ht="15.0" customHeight="1">
      <c r="A544" s="49">
        <v>45988.0</v>
      </c>
      <c r="B544" s="52" t="s">
        <v>381</v>
      </c>
      <c r="C544" s="52" t="s">
        <v>156</v>
      </c>
      <c r="D544" s="52" t="s">
        <v>277</v>
      </c>
      <c r="E544" s="52" t="s">
        <v>382</v>
      </c>
      <c r="F544" s="2"/>
      <c r="G544" s="36">
        <v>-37.02</v>
      </c>
      <c r="H544" s="2"/>
      <c r="I544" s="52" t="s">
        <v>269</v>
      </c>
      <c r="J544" s="2"/>
      <c r="K544" s="2"/>
    </row>
    <row r="545" ht="15.0" customHeight="1">
      <c r="A545" s="49">
        <v>45988.0</v>
      </c>
      <c r="B545" s="52" t="s">
        <v>276</v>
      </c>
      <c r="C545" s="52" t="s">
        <v>153</v>
      </c>
      <c r="D545" s="52" t="s">
        <v>277</v>
      </c>
      <c r="E545" s="52" t="s">
        <v>278</v>
      </c>
      <c r="F545" s="2"/>
      <c r="G545" s="36">
        <v>-7.99</v>
      </c>
      <c r="H545" s="2"/>
      <c r="I545" s="52" t="s">
        <v>269</v>
      </c>
      <c r="J545" s="2"/>
      <c r="K545" s="2"/>
    </row>
    <row r="546" ht="15.0" customHeight="1">
      <c r="A546" s="49">
        <v>45988.0</v>
      </c>
      <c r="B546" s="52" t="s">
        <v>164</v>
      </c>
      <c r="C546" s="52" t="s">
        <v>27</v>
      </c>
      <c r="D546" s="52" t="s">
        <v>277</v>
      </c>
      <c r="E546" s="52" t="s">
        <v>274</v>
      </c>
      <c r="F546" s="2"/>
      <c r="G546" s="36">
        <v>-23.07</v>
      </c>
      <c r="H546" s="2"/>
      <c r="I546" s="52" t="s">
        <v>269</v>
      </c>
      <c r="J546" s="2"/>
      <c r="K546" s="2"/>
    </row>
    <row r="547" ht="15.0" customHeight="1">
      <c r="A547" s="49">
        <v>45988.0</v>
      </c>
      <c r="B547" s="52" t="s">
        <v>787</v>
      </c>
      <c r="C547" s="52" t="s">
        <v>157</v>
      </c>
      <c r="D547" s="52" t="s">
        <v>270</v>
      </c>
      <c r="E547" s="52" t="s">
        <v>788</v>
      </c>
      <c r="F547" s="2"/>
      <c r="G547" s="36">
        <v>-103.88</v>
      </c>
      <c r="H547" s="2"/>
      <c r="I547" s="52" t="s">
        <v>272</v>
      </c>
      <c r="J547" s="2"/>
      <c r="K547" s="2"/>
    </row>
    <row r="548" ht="15.0" customHeight="1">
      <c r="A548" s="49">
        <v>45988.0</v>
      </c>
      <c r="B548" s="52" t="s">
        <v>789</v>
      </c>
      <c r="C548" s="52" t="s">
        <v>152</v>
      </c>
      <c r="D548" s="52" t="s">
        <v>270</v>
      </c>
      <c r="E548" s="52" t="s">
        <v>790</v>
      </c>
      <c r="F548" s="2"/>
      <c r="G548" s="36">
        <v>-44.34</v>
      </c>
      <c r="H548" s="2"/>
      <c r="I548" s="52" t="s">
        <v>272</v>
      </c>
      <c r="J548" s="2"/>
      <c r="K548" s="2"/>
    </row>
    <row r="549" ht="15.0" customHeight="1">
      <c r="A549" s="49">
        <v>45988.0</v>
      </c>
      <c r="B549" s="52" t="s">
        <v>789</v>
      </c>
      <c r="C549" s="52" t="s">
        <v>152</v>
      </c>
      <c r="D549" s="52" t="s">
        <v>270</v>
      </c>
      <c r="E549" s="52" t="s">
        <v>790</v>
      </c>
      <c r="F549" s="2"/>
      <c r="G549" s="36">
        <v>-21.81</v>
      </c>
      <c r="H549" s="2"/>
      <c r="I549" s="52" t="s">
        <v>272</v>
      </c>
      <c r="J549" s="2"/>
      <c r="K549" s="2"/>
    </row>
    <row r="550" ht="15.0" customHeight="1">
      <c r="A550" s="49">
        <v>45988.0</v>
      </c>
      <c r="B550" s="52" t="s">
        <v>164</v>
      </c>
      <c r="C550" s="52" t="s">
        <v>27</v>
      </c>
      <c r="D550" s="52" t="s">
        <v>273</v>
      </c>
      <c r="E550" s="52" t="s">
        <v>791</v>
      </c>
      <c r="F550" s="2"/>
      <c r="G550" s="36">
        <v>-10.99</v>
      </c>
      <c r="H550" s="2"/>
      <c r="I550" s="52" t="s">
        <v>272</v>
      </c>
      <c r="J550" s="2"/>
      <c r="K550" s="2"/>
    </row>
    <row r="551" ht="15.0" customHeight="1">
      <c r="A551" s="49">
        <v>45987.0</v>
      </c>
      <c r="B551" s="52" t="s">
        <v>792</v>
      </c>
      <c r="C551" s="52" t="s">
        <v>28</v>
      </c>
      <c r="D551" s="52" t="s">
        <v>277</v>
      </c>
      <c r="E551" s="52" t="s">
        <v>793</v>
      </c>
      <c r="F551" s="2"/>
      <c r="G551" s="36">
        <v>-100.44</v>
      </c>
      <c r="H551" s="2"/>
      <c r="I551" s="52" t="s">
        <v>269</v>
      </c>
      <c r="J551" s="2"/>
      <c r="K551" s="2"/>
    </row>
    <row r="552" ht="15.0" customHeight="1">
      <c r="A552" s="49">
        <v>45987.0</v>
      </c>
      <c r="B552" s="52" t="s">
        <v>794</v>
      </c>
      <c r="C552" s="52" t="s">
        <v>28</v>
      </c>
      <c r="D552" s="52" t="s">
        <v>267</v>
      </c>
      <c r="E552" s="52" t="s">
        <v>795</v>
      </c>
      <c r="F552" s="2"/>
      <c r="G552" s="36">
        <v>-5.45</v>
      </c>
      <c r="H552" s="2"/>
      <c r="I552" s="52" t="s">
        <v>269</v>
      </c>
      <c r="J552" s="2"/>
      <c r="K552" s="2"/>
    </row>
    <row r="553" ht="15.0" customHeight="1">
      <c r="A553" s="49">
        <v>45987.0</v>
      </c>
      <c r="B553" s="52" t="s">
        <v>782</v>
      </c>
      <c r="C553" s="52" t="s">
        <v>152</v>
      </c>
      <c r="D553" s="52" t="s">
        <v>270</v>
      </c>
      <c r="E553" s="52" t="s">
        <v>783</v>
      </c>
      <c r="F553" s="2"/>
      <c r="G553" s="36">
        <v>-7.22</v>
      </c>
      <c r="H553" s="2"/>
      <c r="I553" s="52" t="s">
        <v>272</v>
      </c>
      <c r="J553" s="2"/>
      <c r="K553" s="2"/>
    </row>
    <row r="554" ht="15.0" customHeight="1">
      <c r="A554" s="49">
        <v>45987.0</v>
      </c>
      <c r="B554" s="52" t="s">
        <v>303</v>
      </c>
      <c r="C554" s="52" t="s">
        <v>155</v>
      </c>
      <c r="D554" s="52" t="s">
        <v>273</v>
      </c>
      <c r="E554" s="52" t="s">
        <v>304</v>
      </c>
      <c r="F554" s="2"/>
      <c r="G554" s="36">
        <v>-25.0</v>
      </c>
      <c r="H554" s="2"/>
      <c r="I554" s="52" t="s">
        <v>272</v>
      </c>
      <c r="J554" s="2"/>
      <c r="K554" s="2"/>
    </row>
    <row r="555" ht="15.0" customHeight="1">
      <c r="A555" s="49">
        <v>45987.0</v>
      </c>
      <c r="B555" s="52" t="s">
        <v>166</v>
      </c>
      <c r="C555" s="52" t="s">
        <v>26</v>
      </c>
      <c r="D555" s="52" t="s">
        <v>270</v>
      </c>
      <c r="E555" s="52" t="s">
        <v>796</v>
      </c>
      <c r="F555" s="2"/>
      <c r="G555" s="36">
        <v>-247.26</v>
      </c>
      <c r="H555" s="2"/>
      <c r="I555" s="52" t="s">
        <v>272</v>
      </c>
      <c r="J555" s="2"/>
      <c r="K555" s="2"/>
    </row>
    <row r="556" ht="15.0" customHeight="1">
      <c r="A556" s="49">
        <v>45987.0</v>
      </c>
      <c r="B556" s="52" t="s">
        <v>164</v>
      </c>
      <c r="C556" s="52" t="s">
        <v>27</v>
      </c>
      <c r="D556" s="52" t="s">
        <v>273</v>
      </c>
      <c r="E556" s="52" t="s">
        <v>274</v>
      </c>
      <c r="F556" s="2"/>
      <c r="G556" s="36">
        <v>-26.08</v>
      </c>
      <c r="H556" s="2"/>
      <c r="I556" s="52" t="s">
        <v>272</v>
      </c>
      <c r="J556" s="2"/>
      <c r="K556" s="2"/>
    </row>
    <row r="557" ht="15.0" customHeight="1">
      <c r="A557" s="49">
        <v>45987.0</v>
      </c>
      <c r="B557" s="52" t="s">
        <v>797</v>
      </c>
      <c r="C557" s="52" t="s">
        <v>27</v>
      </c>
      <c r="D557" s="52" t="s">
        <v>270</v>
      </c>
      <c r="E557" s="52" t="s">
        <v>798</v>
      </c>
      <c r="F557" s="2"/>
      <c r="G557" s="36">
        <v>-52.03</v>
      </c>
      <c r="H557" s="2"/>
      <c r="I557" s="52" t="s">
        <v>272</v>
      </c>
      <c r="J557" s="2"/>
      <c r="K557" s="2"/>
    </row>
    <row r="558" ht="15.0" customHeight="1">
      <c r="A558" s="49">
        <v>45987.0</v>
      </c>
      <c r="B558" s="52" t="s">
        <v>276</v>
      </c>
      <c r="C558" s="52" t="s">
        <v>153</v>
      </c>
      <c r="D558" s="52" t="s">
        <v>270</v>
      </c>
      <c r="E558" s="52" t="s">
        <v>278</v>
      </c>
      <c r="F558" s="2"/>
      <c r="G558" s="36">
        <v>-1.99</v>
      </c>
      <c r="H558" s="2"/>
      <c r="I558" s="52" t="s">
        <v>272</v>
      </c>
      <c r="J558" s="2"/>
      <c r="K558" s="2"/>
    </row>
    <row r="559" ht="15.0" customHeight="1">
      <c r="A559" s="49">
        <v>45987.0</v>
      </c>
      <c r="B559" s="52" t="s">
        <v>799</v>
      </c>
      <c r="C559" s="52" t="s">
        <v>289</v>
      </c>
      <c r="D559" s="52" t="s">
        <v>309</v>
      </c>
      <c r="E559" s="52" t="s">
        <v>434</v>
      </c>
      <c r="F559" s="2"/>
      <c r="G559" s="36">
        <v>5500.0</v>
      </c>
      <c r="H559" s="2"/>
      <c r="I559" s="52" t="s">
        <v>272</v>
      </c>
      <c r="J559" s="2"/>
      <c r="K559" s="2"/>
    </row>
    <row r="560" ht="15.0" customHeight="1">
      <c r="A560" s="49">
        <v>45987.0</v>
      </c>
      <c r="B560" s="52" t="s">
        <v>305</v>
      </c>
      <c r="C560" s="52" t="s">
        <v>289</v>
      </c>
      <c r="D560" s="52" t="s">
        <v>296</v>
      </c>
      <c r="E560" s="52" t="s">
        <v>433</v>
      </c>
      <c r="F560" s="2"/>
      <c r="G560" s="36">
        <v>-5500.0</v>
      </c>
      <c r="H560" s="2"/>
      <c r="I560" s="52" t="s">
        <v>272</v>
      </c>
      <c r="J560" s="2"/>
      <c r="K560" s="2"/>
    </row>
    <row r="561" ht="15.0" customHeight="1">
      <c r="A561" s="49">
        <v>45987.0</v>
      </c>
      <c r="B561" s="52" t="s">
        <v>431</v>
      </c>
      <c r="C561" s="52" t="s">
        <v>289</v>
      </c>
      <c r="D561" s="52" t="s">
        <v>296</v>
      </c>
      <c r="E561" s="52" t="s">
        <v>432</v>
      </c>
      <c r="F561" s="2"/>
      <c r="G561" s="36">
        <v>500.0</v>
      </c>
      <c r="H561" s="2"/>
      <c r="I561" s="52" t="s">
        <v>272</v>
      </c>
      <c r="J561" s="2"/>
      <c r="K561" s="2"/>
    </row>
    <row r="562" ht="15.0" customHeight="1">
      <c r="A562" s="49">
        <v>45987.0</v>
      </c>
      <c r="B562" s="52" t="s">
        <v>431</v>
      </c>
      <c r="C562" s="52" t="s">
        <v>289</v>
      </c>
      <c r="D562" s="52" t="s">
        <v>296</v>
      </c>
      <c r="E562" s="52" t="s">
        <v>432</v>
      </c>
      <c r="F562" s="2"/>
      <c r="G562" s="36">
        <v>5000.0</v>
      </c>
      <c r="H562" s="2"/>
      <c r="I562" s="52" t="s">
        <v>272</v>
      </c>
      <c r="J562" s="2"/>
      <c r="K562" s="2"/>
    </row>
    <row r="563" ht="15.0" customHeight="1">
      <c r="A563" s="49">
        <v>45986.0</v>
      </c>
      <c r="B563" s="52" t="s">
        <v>362</v>
      </c>
      <c r="C563" s="52" t="s">
        <v>162</v>
      </c>
      <c r="D563" s="52" t="s">
        <v>277</v>
      </c>
      <c r="E563" s="52" t="s">
        <v>363</v>
      </c>
      <c r="F563" s="2"/>
      <c r="G563" s="36">
        <v>-12.0</v>
      </c>
      <c r="H563" s="2"/>
      <c r="I563" s="52" t="s">
        <v>269</v>
      </c>
      <c r="J563" s="2"/>
      <c r="K563" s="2"/>
    </row>
    <row r="564" ht="15.0" customHeight="1">
      <c r="A564" s="49">
        <v>45986.0</v>
      </c>
      <c r="B564" s="52" t="s">
        <v>299</v>
      </c>
      <c r="C564" s="52" t="s">
        <v>153</v>
      </c>
      <c r="D564" s="52" t="s">
        <v>267</v>
      </c>
      <c r="E564" s="52" t="s">
        <v>800</v>
      </c>
      <c r="F564" s="2"/>
      <c r="G564" s="36">
        <v>-11.99</v>
      </c>
      <c r="H564" s="2"/>
      <c r="I564" s="52" t="s">
        <v>269</v>
      </c>
      <c r="J564" s="2"/>
      <c r="K564" s="2"/>
    </row>
    <row r="565" ht="15.0" customHeight="1">
      <c r="A565" s="49">
        <v>45986.0</v>
      </c>
      <c r="B565" s="52" t="s">
        <v>171</v>
      </c>
      <c r="C565" s="52" t="s">
        <v>26</v>
      </c>
      <c r="D565" s="52" t="s">
        <v>270</v>
      </c>
      <c r="E565" s="52" t="s">
        <v>439</v>
      </c>
      <c r="F565" s="2"/>
      <c r="G565" s="36">
        <v>-54.12</v>
      </c>
      <c r="H565" s="2"/>
      <c r="I565" s="52" t="s">
        <v>272</v>
      </c>
      <c r="J565" s="2"/>
      <c r="K565" s="2"/>
    </row>
    <row r="566" ht="15.0" customHeight="1">
      <c r="A566" s="49">
        <v>45986.0</v>
      </c>
      <c r="B566" s="52" t="s">
        <v>164</v>
      </c>
      <c r="C566" s="52" t="s">
        <v>27</v>
      </c>
      <c r="D566" s="52" t="s">
        <v>273</v>
      </c>
      <c r="E566" s="52" t="s">
        <v>274</v>
      </c>
      <c r="F566" s="2"/>
      <c r="G566" s="36">
        <v>-35.93</v>
      </c>
      <c r="H566" s="2"/>
      <c r="I566" s="52" t="s">
        <v>272</v>
      </c>
      <c r="J566" s="2"/>
      <c r="K566" s="2"/>
    </row>
    <row r="567" ht="15.0" customHeight="1">
      <c r="A567" s="49">
        <v>45986.0</v>
      </c>
      <c r="B567" s="52" t="s">
        <v>164</v>
      </c>
      <c r="C567" s="52" t="s">
        <v>27</v>
      </c>
      <c r="D567" s="52" t="s">
        <v>273</v>
      </c>
      <c r="E567" s="52" t="s">
        <v>274</v>
      </c>
      <c r="F567" s="2"/>
      <c r="G567" s="36">
        <v>-23.89</v>
      </c>
      <c r="H567" s="2"/>
      <c r="I567" s="52" t="s">
        <v>272</v>
      </c>
      <c r="J567" s="2"/>
      <c r="K567" s="2"/>
    </row>
    <row r="568" ht="15.0" customHeight="1">
      <c r="A568" s="49">
        <v>45986.0</v>
      </c>
      <c r="B568" s="52" t="s">
        <v>164</v>
      </c>
      <c r="C568" s="52" t="s">
        <v>27</v>
      </c>
      <c r="D568" s="52" t="s">
        <v>273</v>
      </c>
      <c r="E568" s="52" t="s">
        <v>274</v>
      </c>
      <c r="F568" s="2"/>
      <c r="G568" s="36">
        <v>-10.87</v>
      </c>
      <c r="H568" s="2"/>
      <c r="I568" s="52" t="s">
        <v>272</v>
      </c>
      <c r="J568" s="2"/>
      <c r="K568" s="2"/>
    </row>
    <row r="569" ht="15.0" customHeight="1">
      <c r="A569" s="49">
        <v>45985.0</v>
      </c>
      <c r="B569" s="52" t="s">
        <v>164</v>
      </c>
      <c r="C569" s="52" t="s">
        <v>27</v>
      </c>
      <c r="D569" s="52" t="s">
        <v>277</v>
      </c>
      <c r="E569" s="52" t="s">
        <v>364</v>
      </c>
      <c r="F569" s="2"/>
      <c r="G569" s="36">
        <v>-15.78</v>
      </c>
      <c r="H569" s="2"/>
      <c r="I569" s="52" t="s">
        <v>269</v>
      </c>
      <c r="J569" s="2"/>
      <c r="K569" s="2"/>
    </row>
    <row r="570" ht="15.0" customHeight="1">
      <c r="A570" s="49">
        <v>45985.0</v>
      </c>
      <c r="B570" s="52" t="s">
        <v>285</v>
      </c>
      <c r="C570" s="52" t="s">
        <v>286</v>
      </c>
      <c r="D570" s="52" t="s">
        <v>267</v>
      </c>
      <c r="E570" s="52" t="s">
        <v>801</v>
      </c>
      <c r="F570" s="2"/>
      <c r="G570" s="36">
        <v>-90.0</v>
      </c>
      <c r="H570" s="2"/>
      <c r="I570" s="52" t="s">
        <v>269</v>
      </c>
      <c r="J570" s="2"/>
      <c r="K570" s="2"/>
    </row>
    <row r="571" ht="15.0" customHeight="1">
      <c r="A571" s="49">
        <v>45985.0</v>
      </c>
      <c r="B571" s="52" t="s">
        <v>624</v>
      </c>
      <c r="C571" s="52" t="s">
        <v>27</v>
      </c>
      <c r="D571" s="52" t="s">
        <v>267</v>
      </c>
      <c r="E571" s="52" t="s">
        <v>802</v>
      </c>
      <c r="F571" s="2"/>
      <c r="G571" s="36">
        <v>-75.0</v>
      </c>
      <c r="H571" s="2"/>
      <c r="I571" s="52" t="s">
        <v>269</v>
      </c>
      <c r="J571" s="2"/>
      <c r="K571" s="2"/>
    </row>
    <row r="572" ht="15.0" customHeight="1">
      <c r="A572" s="49">
        <v>45985.0</v>
      </c>
      <c r="B572" s="52" t="s">
        <v>283</v>
      </c>
      <c r="C572" s="52" t="s">
        <v>154</v>
      </c>
      <c r="D572" s="52" t="s">
        <v>267</v>
      </c>
      <c r="E572" s="52" t="s">
        <v>803</v>
      </c>
      <c r="F572" s="2"/>
      <c r="G572" s="36">
        <v>-3.26</v>
      </c>
      <c r="H572" s="2"/>
      <c r="I572" s="52" t="s">
        <v>269</v>
      </c>
      <c r="J572" s="2"/>
      <c r="K572" s="2"/>
    </row>
    <row r="573" ht="15.0" customHeight="1">
      <c r="A573" s="49">
        <v>45985.0</v>
      </c>
      <c r="B573" s="52" t="s">
        <v>166</v>
      </c>
      <c r="C573" s="52" t="s">
        <v>26</v>
      </c>
      <c r="D573" s="52" t="s">
        <v>270</v>
      </c>
      <c r="E573" s="52" t="s">
        <v>374</v>
      </c>
      <c r="F573" s="2"/>
      <c r="G573" s="36">
        <v>-72.96</v>
      </c>
      <c r="H573" s="2"/>
      <c r="I573" s="52" t="s">
        <v>272</v>
      </c>
      <c r="J573" s="2"/>
      <c r="K573" s="2"/>
    </row>
    <row r="574" ht="15.0" customHeight="1">
      <c r="A574" s="49">
        <v>45985.0</v>
      </c>
      <c r="B574" s="52" t="s">
        <v>164</v>
      </c>
      <c r="C574" s="52" t="s">
        <v>27</v>
      </c>
      <c r="D574" s="52" t="s">
        <v>273</v>
      </c>
      <c r="E574" s="52" t="s">
        <v>274</v>
      </c>
      <c r="F574" s="2"/>
      <c r="G574" s="36">
        <v>-20.55</v>
      </c>
      <c r="H574" s="2"/>
      <c r="I574" s="52" t="s">
        <v>272</v>
      </c>
      <c r="J574" s="2"/>
      <c r="K574" s="2"/>
    </row>
    <row r="575" ht="15.0" customHeight="1">
      <c r="A575" s="49">
        <v>45985.0</v>
      </c>
      <c r="B575" s="52" t="s">
        <v>164</v>
      </c>
      <c r="C575" s="52" t="s">
        <v>27</v>
      </c>
      <c r="D575" s="52" t="s">
        <v>273</v>
      </c>
      <c r="E575" s="52" t="s">
        <v>364</v>
      </c>
      <c r="F575" s="2"/>
      <c r="G575" s="36">
        <v>-30.28</v>
      </c>
      <c r="H575" s="2"/>
      <c r="I575" s="52" t="s">
        <v>272</v>
      </c>
      <c r="J575" s="2"/>
      <c r="K575" s="2"/>
    </row>
    <row r="576" ht="15.0" customHeight="1">
      <c r="A576" s="49">
        <v>45984.0</v>
      </c>
      <c r="B576" s="52" t="s">
        <v>542</v>
      </c>
      <c r="C576" s="52" t="s">
        <v>28</v>
      </c>
      <c r="D576" s="52" t="s">
        <v>277</v>
      </c>
      <c r="E576" s="52" t="s">
        <v>804</v>
      </c>
      <c r="F576" s="2"/>
      <c r="G576" s="36">
        <v>-27.66</v>
      </c>
      <c r="H576" s="2"/>
      <c r="I576" s="52" t="s">
        <v>269</v>
      </c>
      <c r="J576" s="2"/>
      <c r="K576" s="2"/>
    </row>
    <row r="577" ht="15.0" customHeight="1">
      <c r="A577" s="49">
        <v>45984.0</v>
      </c>
      <c r="B577" s="52" t="s">
        <v>315</v>
      </c>
      <c r="C577" s="52" t="s">
        <v>26</v>
      </c>
      <c r="D577" s="52" t="s">
        <v>277</v>
      </c>
      <c r="E577" s="52" t="s">
        <v>316</v>
      </c>
      <c r="F577" s="2"/>
      <c r="G577" s="36">
        <v>-75.14</v>
      </c>
      <c r="H577" s="2"/>
      <c r="I577" s="52" t="s">
        <v>269</v>
      </c>
      <c r="J577" s="2"/>
      <c r="K577" s="2"/>
    </row>
    <row r="578" ht="15.0" customHeight="1">
      <c r="A578" s="49">
        <v>45984.0</v>
      </c>
      <c r="B578" s="52" t="s">
        <v>590</v>
      </c>
      <c r="C578" s="52" t="s">
        <v>27</v>
      </c>
      <c r="D578" s="52" t="s">
        <v>270</v>
      </c>
      <c r="E578" s="52" t="s">
        <v>591</v>
      </c>
      <c r="F578" s="2"/>
      <c r="G578" s="36">
        <v>-189.0</v>
      </c>
      <c r="H578" s="2"/>
      <c r="I578" s="52" t="s">
        <v>272</v>
      </c>
      <c r="J578" s="2"/>
      <c r="K578" s="2"/>
    </row>
    <row r="579" ht="15.0" customHeight="1">
      <c r="A579" s="49">
        <v>45984.0</v>
      </c>
      <c r="B579" s="52" t="s">
        <v>164</v>
      </c>
      <c r="C579" s="52" t="s">
        <v>27</v>
      </c>
      <c r="D579" s="52" t="s">
        <v>273</v>
      </c>
      <c r="E579" s="52" t="s">
        <v>274</v>
      </c>
      <c r="F579" s="2"/>
      <c r="G579" s="36">
        <v>-50.51</v>
      </c>
      <c r="H579" s="2"/>
      <c r="I579" s="52" t="s">
        <v>272</v>
      </c>
      <c r="J579" s="2"/>
      <c r="K579" s="2"/>
    </row>
    <row r="580" ht="15.0" customHeight="1">
      <c r="A580" s="49">
        <v>45983.0</v>
      </c>
      <c r="B580" s="52" t="s">
        <v>164</v>
      </c>
      <c r="C580" s="52" t="s">
        <v>27</v>
      </c>
      <c r="D580" s="52" t="s">
        <v>273</v>
      </c>
      <c r="E580" s="52" t="s">
        <v>274</v>
      </c>
      <c r="F580" s="2"/>
      <c r="G580" s="36">
        <v>-29.59</v>
      </c>
      <c r="H580" s="2"/>
      <c r="I580" s="52" t="s">
        <v>272</v>
      </c>
      <c r="J580" s="2"/>
      <c r="K580" s="2"/>
    </row>
    <row r="581" ht="15.0" customHeight="1">
      <c r="A581" s="49">
        <v>45982.0</v>
      </c>
      <c r="B581" s="52" t="s">
        <v>805</v>
      </c>
      <c r="C581" s="52" t="s">
        <v>27</v>
      </c>
      <c r="D581" s="52" t="s">
        <v>267</v>
      </c>
      <c r="E581" s="52" t="s">
        <v>806</v>
      </c>
      <c r="F581" s="2"/>
      <c r="G581" s="36">
        <v>-96.38</v>
      </c>
      <c r="H581" s="2"/>
      <c r="I581" s="52" t="s">
        <v>269</v>
      </c>
      <c r="J581" s="2"/>
      <c r="K581" s="2"/>
    </row>
    <row r="582" ht="15.0" customHeight="1">
      <c r="A582" s="49">
        <v>45982.0</v>
      </c>
      <c r="B582" s="52" t="s">
        <v>344</v>
      </c>
      <c r="C582" s="52" t="s">
        <v>153</v>
      </c>
      <c r="D582" s="52" t="s">
        <v>267</v>
      </c>
      <c r="E582" s="52" t="s">
        <v>807</v>
      </c>
      <c r="F582" s="2"/>
      <c r="G582" s="36">
        <v>-29.99</v>
      </c>
      <c r="H582" s="2"/>
      <c r="I582" s="52" t="s">
        <v>269</v>
      </c>
      <c r="J582" s="2"/>
      <c r="K582" s="2"/>
    </row>
    <row r="583" ht="15.0" customHeight="1">
      <c r="A583" s="49">
        <v>45982.0</v>
      </c>
      <c r="B583" s="52" t="s">
        <v>411</v>
      </c>
      <c r="C583" s="52" t="s">
        <v>412</v>
      </c>
      <c r="D583" s="52" t="s">
        <v>267</v>
      </c>
      <c r="E583" s="52" t="s">
        <v>808</v>
      </c>
      <c r="F583" s="2"/>
      <c r="G583" s="36">
        <v>3817.57</v>
      </c>
      <c r="H583" s="2"/>
      <c r="I583" s="52" t="s">
        <v>269</v>
      </c>
      <c r="J583" s="2"/>
      <c r="K583" s="2"/>
    </row>
    <row r="584" ht="15.0" customHeight="1">
      <c r="A584" s="49">
        <v>45982.0</v>
      </c>
      <c r="B584" s="52" t="s">
        <v>367</v>
      </c>
      <c r="C584" s="52" t="s">
        <v>162</v>
      </c>
      <c r="D584" s="52" t="s">
        <v>296</v>
      </c>
      <c r="E584" s="52" t="s">
        <v>809</v>
      </c>
      <c r="F584" s="2"/>
      <c r="G584" s="36">
        <v>-5.45</v>
      </c>
      <c r="H584" s="2"/>
      <c r="I584" s="52" t="s">
        <v>272</v>
      </c>
      <c r="J584" s="2"/>
      <c r="K584" s="2"/>
    </row>
    <row r="585" ht="15.0" customHeight="1">
      <c r="A585" s="49">
        <v>45982.0</v>
      </c>
      <c r="B585" s="52" t="s">
        <v>355</v>
      </c>
      <c r="C585" s="52" t="s">
        <v>356</v>
      </c>
      <c r="D585" s="52" t="s">
        <v>296</v>
      </c>
      <c r="E585" s="52" t="s">
        <v>357</v>
      </c>
      <c r="F585" s="2"/>
      <c r="G585" s="36">
        <v>-40.0</v>
      </c>
      <c r="H585" s="2"/>
      <c r="I585" s="52" t="s">
        <v>272</v>
      </c>
      <c r="J585" s="2"/>
      <c r="K585" s="2"/>
    </row>
    <row r="586" ht="15.0" customHeight="1">
      <c r="A586" s="49">
        <v>45982.0</v>
      </c>
      <c r="B586" s="52" t="s">
        <v>810</v>
      </c>
      <c r="C586" s="52" t="s">
        <v>28</v>
      </c>
      <c r="D586" s="52" t="s">
        <v>270</v>
      </c>
      <c r="E586" s="52" t="s">
        <v>811</v>
      </c>
      <c r="F586" s="2"/>
      <c r="G586" s="36">
        <v>-151.53</v>
      </c>
      <c r="H586" s="2"/>
      <c r="I586" s="52" t="s">
        <v>272</v>
      </c>
      <c r="J586" s="2"/>
      <c r="K586" s="2"/>
    </row>
    <row r="587" ht="15.0" customHeight="1">
      <c r="A587" s="49">
        <v>45982.0</v>
      </c>
      <c r="B587" s="52" t="s">
        <v>164</v>
      </c>
      <c r="C587" s="52" t="s">
        <v>27</v>
      </c>
      <c r="D587" s="52" t="s">
        <v>273</v>
      </c>
      <c r="E587" s="52" t="s">
        <v>364</v>
      </c>
      <c r="F587" s="2"/>
      <c r="G587" s="36">
        <v>-107.81</v>
      </c>
      <c r="H587" s="2"/>
      <c r="I587" s="52" t="s">
        <v>272</v>
      </c>
      <c r="J587" s="2"/>
      <c r="K587" s="2"/>
    </row>
    <row r="588" ht="15.0" customHeight="1">
      <c r="A588" s="49">
        <v>45981.0</v>
      </c>
      <c r="B588" s="52" t="s">
        <v>812</v>
      </c>
      <c r="C588" s="52" t="s">
        <v>675</v>
      </c>
      <c r="D588" s="52" t="s">
        <v>277</v>
      </c>
      <c r="E588" s="52" t="s">
        <v>813</v>
      </c>
      <c r="F588" s="2"/>
      <c r="G588" s="36">
        <v>-361.43</v>
      </c>
      <c r="H588" s="2"/>
      <c r="I588" s="52" t="s">
        <v>269</v>
      </c>
      <c r="J588" s="2"/>
      <c r="K588" s="2"/>
    </row>
    <row r="589" ht="15.0" customHeight="1">
      <c r="A589" s="49">
        <v>45981.0</v>
      </c>
      <c r="B589" s="52" t="s">
        <v>428</v>
      </c>
      <c r="C589" s="52" t="s">
        <v>26</v>
      </c>
      <c r="D589" s="52" t="s">
        <v>277</v>
      </c>
      <c r="E589" s="52" t="s">
        <v>707</v>
      </c>
      <c r="F589" s="2"/>
      <c r="G589" s="36">
        <v>-62.0</v>
      </c>
      <c r="H589" s="2"/>
      <c r="I589" s="52" t="s">
        <v>269</v>
      </c>
      <c r="J589" s="2"/>
      <c r="K589" s="2"/>
    </row>
    <row r="590" ht="15.0" customHeight="1">
      <c r="A590" s="49">
        <v>45981.0</v>
      </c>
      <c r="B590" s="52" t="s">
        <v>321</v>
      </c>
      <c r="C590" s="52" t="s">
        <v>152</v>
      </c>
      <c r="D590" s="52" t="s">
        <v>277</v>
      </c>
      <c r="E590" s="52" t="s">
        <v>814</v>
      </c>
      <c r="F590" s="2"/>
      <c r="G590" s="36">
        <v>-3.73</v>
      </c>
      <c r="H590" s="2"/>
      <c r="I590" s="52" t="s">
        <v>269</v>
      </c>
      <c r="J590" s="2"/>
      <c r="K590" s="2"/>
    </row>
    <row r="591" ht="15.0" customHeight="1">
      <c r="A591" s="49">
        <v>45981.0</v>
      </c>
      <c r="B591" s="52" t="s">
        <v>477</v>
      </c>
      <c r="C591" s="52" t="s">
        <v>289</v>
      </c>
      <c r="D591" s="52" t="s">
        <v>267</v>
      </c>
      <c r="E591" s="52" t="s">
        <v>815</v>
      </c>
      <c r="F591" s="2"/>
      <c r="G591" s="36">
        <v>-180.0</v>
      </c>
      <c r="H591" s="2"/>
      <c r="I591" s="52" t="s">
        <v>269</v>
      </c>
      <c r="J591" s="2"/>
      <c r="K591" s="2"/>
    </row>
    <row r="592" ht="15.0" customHeight="1">
      <c r="A592" s="49">
        <v>45981.0</v>
      </c>
      <c r="B592" s="52" t="s">
        <v>333</v>
      </c>
      <c r="C592" s="52" t="s">
        <v>158</v>
      </c>
      <c r="D592" s="52" t="s">
        <v>267</v>
      </c>
      <c r="E592" s="52" t="s">
        <v>816</v>
      </c>
      <c r="F592" s="2"/>
      <c r="G592" s="36">
        <v>-75.0</v>
      </c>
      <c r="H592" s="2"/>
      <c r="I592" s="52" t="s">
        <v>269</v>
      </c>
      <c r="J592" s="2"/>
      <c r="K592" s="2"/>
    </row>
    <row r="593" ht="15.0" customHeight="1">
      <c r="A593" s="49">
        <v>45981.0</v>
      </c>
      <c r="B593" s="52" t="s">
        <v>477</v>
      </c>
      <c r="C593" s="52" t="s">
        <v>289</v>
      </c>
      <c r="D593" s="52" t="s">
        <v>267</v>
      </c>
      <c r="E593" s="52" t="s">
        <v>817</v>
      </c>
      <c r="F593" s="2"/>
      <c r="G593" s="36">
        <v>412.0</v>
      </c>
      <c r="H593" s="2"/>
      <c r="I593" s="52" t="s">
        <v>269</v>
      </c>
      <c r="J593" s="2"/>
      <c r="K593" s="2"/>
    </row>
    <row r="594" ht="15.0" customHeight="1">
      <c r="A594" s="49">
        <v>45981.0</v>
      </c>
      <c r="B594" s="52" t="s">
        <v>276</v>
      </c>
      <c r="C594" s="52" t="s">
        <v>153</v>
      </c>
      <c r="D594" s="52" t="s">
        <v>270</v>
      </c>
      <c r="E594" s="52" t="s">
        <v>278</v>
      </c>
      <c r="F594" s="2"/>
      <c r="G594" s="36">
        <v>-12.99</v>
      </c>
      <c r="H594" s="2"/>
      <c r="I594" s="52" t="s">
        <v>272</v>
      </c>
      <c r="J594" s="2"/>
      <c r="K594" s="2"/>
    </row>
    <row r="595" ht="15.0" customHeight="1">
      <c r="A595" s="49">
        <v>45981.0</v>
      </c>
      <c r="B595" s="52" t="s">
        <v>818</v>
      </c>
      <c r="C595" s="52" t="s">
        <v>162</v>
      </c>
      <c r="D595" s="52" t="s">
        <v>296</v>
      </c>
      <c r="E595" s="52" t="s">
        <v>819</v>
      </c>
      <c r="F595" s="2"/>
      <c r="G595" s="36">
        <v>-304.0</v>
      </c>
      <c r="H595" s="2"/>
      <c r="I595" s="52" t="s">
        <v>272</v>
      </c>
      <c r="J595" s="2"/>
      <c r="K595" s="2"/>
    </row>
    <row r="596" ht="15.0" customHeight="1">
      <c r="A596" s="49">
        <v>45980.0</v>
      </c>
      <c r="B596" s="52" t="s">
        <v>398</v>
      </c>
      <c r="C596" s="52" t="s">
        <v>399</v>
      </c>
      <c r="D596" s="52" t="s">
        <v>277</v>
      </c>
      <c r="E596" s="52" t="s">
        <v>400</v>
      </c>
      <c r="F596" s="2"/>
      <c r="G596" s="36">
        <v>-1116.0</v>
      </c>
      <c r="H596" s="2"/>
      <c r="I596" s="52" t="s">
        <v>269</v>
      </c>
      <c r="J596" s="2"/>
      <c r="K596" s="2"/>
    </row>
    <row r="597" ht="15.0" customHeight="1">
      <c r="A597" s="49">
        <v>45980.0</v>
      </c>
      <c r="B597" s="52" t="s">
        <v>164</v>
      </c>
      <c r="C597" s="52" t="s">
        <v>27</v>
      </c>
      <c r="D597" s="52" t="s">
        <v>277</v>
      </c>
      <c r="E597" s="52" t="s">
        <v>364</v>
      </c>
      <c r="F597" s="2"/>
      <c r="G597" s="36">
        <v>-21.77</v>
      </c>
      <c r="H597" s="2"/>
      <c r="I597" s="52" t="s">
        <v>269</v>
      </c>
      <c r="J597" s="2"/>
      <c r="K597" s="2"/>
    </row>
    <row r="598" ht="15.0" customHeight="1">
      <c r="A598" s="49">
        <v>45980.0</v>
      </c>
      <c r="B598" s="52" t="s">
        <v>348</v>
      </c>
      <c r="C598" s="52" t="s">
        <v>349</v>
      </c>
      <c r="D598" s="52" t="s">
        <v>267</v>
      </c>
      <c r="E598" s="52" t="s">
        <v>351</v>
      </c>
      <c r="F598" s="2"/>
      <c r="G598" s="36">
        <v>-169.02</v>
      </c>
      <c r="H598" s="2"/>
      <c r="I598" s="52" t="s">
        <v>269</v>
      </c>
      <c r="J598" s="2"/>
      <c r="K598" s="2"/>
    </row>
    <row r="599" ht="15.0" customHeight="1">
      <c r="A599" s="49">
        <v>45980.0</v>
      </c>
      <c r="B599" s="52" t="s">
        <v>820</v>
      </c>
      <c r="C599" s="52" t="s">
        <v>28</v>
      </c>
      <c r="D599" s="52" t="s">
        <v>267</v>
      </c>
      <c r="E599" s="52" t="s">
        <v>821</v>
      </c>
      <c r="F599" s="2"/>
      <c r="G599" s="36">
        <v>-36.56</v>
      </c>
      <c r="H599" s="2"/>
      <c r="I599" s="52" t="s">
        <v>269</v>
      </c>
      <c r="J599" s="2"/>
      <c r="K599" s="2"/>
    </row>
    <row r="600" ht="15.0" customHeight="1">
      <c r="A600" s="49">
        <v>45980.0</v>
      </c>
      <c r="B600" s="52" t="s">
        <v>166</v>
      </c>
      <c r="C600" s="52" t="s">
        <v>26</v>
      </c>
      <c r="D600" s="52" t="s">
        <v>270</v>
      </c>
      <c r="E600" s="52" t="s">
        <v>374</v>
      </c>
      <c r="F600" s="2"/>
      <c r="G600" s="36">
        <v>-169.27</v>
      </c>
      <c r="H600" s="2"/>
      <c r="I600" s="52" t="s">
        <v>272</v>
      </c>
      <c r="J600" s="2"/>
      <c r="K600" s="2"/>
    </row>
    <row r="601" ht="15.0" customHeight="1">
      <c r="A601" s="49">
        <v>45980.0</v>
      </c>
      <c r="B601" s="52" t="s">
        <v>164</v>
      </c>
      <c r="C601" s="52" t="s">
        <v>27</v>
      </c>
      <c r="D601" s="52" t="s">
        <v>273</v>
      </c>
      <c r="E601" s="52" t="s">
        <v>274</v>
      </c>
      <c r="F601" s="2"/>
      <c r="G601" s="36">
        <v>-52.21</v>
      </c>
      <c r="H601" s="2"/>
      <c r="I601" s="52" t="s">
        <v>272</v>
      </c>
      <c r="J601" s="2"/>
      <c r="K601" s="2"/>
    </row>
    <row r="602" ht="15.0" customHeight="1">
      <c r="A602" s="49">
        <v>45980.0</v>
      </c>
      <c r="B602" s="52" t="s">
        <v>164</v>
      </c>
      <c r="C602" s="52" t="s">
        <v>27</v>
      </c>
      <c r="D602" s="52" t="s">
        <v>273</v>
      </c>
      <c r="E602" s="52" t="s">
        <v>274</v>
      </c>
      <c r="F602" s="2"/>
      <c r="G602" s="36">
        <v>-29.39</v>
      </c>
      <c r="H602" s="2"/>
      <c r="I602" s="52" t="s">
        <v>272</v>
      </c>
      <c r="J602" s="2"/>
      <c r="K602" s="2"/>
    </row>
    <row r="603" ht="15.0" customHeight="1">
      <c r="A603" s="49">
        <v>45979.0</v>
      </c>
      <c r="B603" s="52" t="s">
        <v>381</v>
      </c>
      <c r="C603" s="52" t="s">
        <v>156</v>
      </c>
      <c r="D603" s="52" t="s">
        <v>277</v>
      </c>
      <c r="E603" s="52" t="s">
        <v>382</v>
      </c>
      <c r="F603" s="2"/>
      <c r="G603" s="36">
        <v>-65.34</v>
      </c>
      <c r="H603" s="2"/>
      <c r="I603" s="52" t="s">
        <v>269</v>
      </c>
      <c r="J603" s="2"/>
      <c r="K603" s="2"/>
    </row>
    <row r="604" ht="15.0" customHeight="1">
      <c r="A604" s="49">
        <v>45979.0</v>
      </c>
      <c r="B604" s="52" t="s">
        <v>822</v>
      </c>
      <c r="C604" s="52" t="s">
        <v>158</v>
      </c>
      <c r="D604" s="52" t="s">
        <v>277</v>
      </c>
      <c r="E604" s="52" t="s">
        <v>823</v>
      </c>
      <c r="F604" s="2"/>
      <c r="G604" s="36">
        <v>-207.0</v>
      </c>
      <c r="H604" s="2"/>
      <c r="I604" s="52" t="s">
        <v>269</v>
      </c>
      <c r="J604" s="2"/>
      <c r="K604" s="2"/>
    </row>
    <row r="605" ht="15.0" customHeight="1">
      <c r="A605" s="49">
        <v>45979.0</v>
      </c>
      <c r="B605" s="52" t="s">
        <v>164</v>
      </c>
      <c r="C605" s="52" t="s">
        <v>27</v>
      </c>
      <c r="D605" s="52" t="s">
        <v>277</v>
      </c>
      <c r="E605" s="52" t="s">
        <v>274</v>
      </c>
      <c r="F605" s="2"/>
      <c r="G605" s="36">
        <v>-9.79</v>
      </c>
      <c r="H605" s="2"/>
      <c r="I605" s="52" t="s">
        <v>269</v>
      </c>
      <c r="J605" s="2"/>
      <c r="K605" s="2"/>
    </row>
    <row r="606" ht="15.0" customHeight="1">
      <c r="A606" s="49">
        <v>45979.0</v>
      </c>
      <c r="B606" s="52" t="s">
        <v>348</v>
      </c>
      <c r="C606" s="52" t="s">
        <v>349</v>
      </c>
      <c r="D606" s="52" t="s">
        <v>267</v>
      </c>
      <c r="E606" s="52" t="s">
        <v>350</v>
      </c>
      <c r="F606" s="2"/>
      <c r="G606" s="36">
        <v>-22.19</v>
      </c>
      <c r="H606" s="2"/>
      <c r="I606" s="52" t="s">
        <v>269</v>
      </c>
      <c r="J606" s="2"/>
      <c r="K606" s="2"/>
    </row>
    <row r="607" ht="15.0" customHeight="1">
      <c r="A607" s="49">
        <v>45979.0</v>
      </c>
      <c r="B607" s="52" t="s">
        <v>386</v>
      </c>
      <c r="C607" s="52" t="s">
        <v>824</v>
      </c>
      <c r="D607" s="52" t="s">
        <v>270</v>
      </c>
      <c r="E607" s="52" t="s">
        <v>388</v>
      </c>
      <c r="F607" s="2"/>
      <c r="G607" s="36">
        <v>-1.99</v>
      </c>
      <c r="H607" s="2"/>
      <c r="I607" s="52" t="s">
        <v>272</v>
      </c>
      <c r="J607" s="2"/>
      <c r="K607" s="2"/>
    </row>
    <row r="608" ht="15.0" customHeight="1">
      <c r="A608" s="49">
        <v>45978.0</v>
      </c>
      <c r="B608" s="52" t="s">
        <v>381</v>
      </c>
      <c r="C608" s="52" t="s">
        <v>156</v>
      </c>
      <c r="D608" s="52" t="s">
        <v>277</v>
      </c>
      <c r="E608" s="52" t="s">
        <v>382</v>
      </c>
      <c r="F608" s="2"/>
      <c r="G608" s="36">
        <v>-106.72</v>
      </c>
      <c r="H608" s="2"/>
      <c r="I608" s="52" t="s">
        <v>269</v>
      </c>
      <c r="J608" s="2"/>
      <c r="K608" s="2"/>
    </row>
    <row r="609" ht="15.0" customHeight="1">
      <c r="A609" s="49">
        <v>45978.0</v>
      </c>
      <c r="B609" s="52" t="s">
        <v>825</v>
      </c>
      <c r="C609" s="52" t="s">
        <v>159</v>
      </c>
      <c r="D609" s="52" t="s">
        <v>277</v>
      </c>
      <c r="E609" s="52" t="s">
        <v>826</v>
      </c>
      <c r="F609" s="2"/>
      <c r="G609" s="36">
        <v>-63.57</v>
      </c>
      <c r="H609" s="2"/>
      <c r="I609" s="52" t="s">
        <v>269</v>
      </c>
      <c r="J609" s="2"/>
      <c r="K609" s="2"/>
    </row>
    <row r="610" ht="15.0" customHeight="1">
      <c r="A610" s="49">
        <v>45978.0</v>
      </c>
      <c r="B610" s="52" t="s">
        <v>315</v>
      </c>
      <c r="C610" s="52" t="s">
        <v>26</v>
      </c>
      <c r="D610" s="52" t="s">
        <v>277</v>
      </c>
      <c r="E610" s="52" t="s">
        <v>316</v>
      </c>
      <c r="F610" s="2"/>
      <c r="G610" s="36">
        <v>-35.97</v>
      </c>
      <c r="H610" s="2"/>
      <c r="I610" s="52" t="s">
        <v>269</v>
      </c>
      <c r="J610" s="2"/>
      <c r="K610" s="2"/>
    </row>
    <row r="611" ht="15.0" customHeight="1">
      <c r="A611" s="49">
        <v>45978.0</v>
      </c>
      <c r="B611" s="52" t="s">
        <v>477</v>
      </c>
      <c r="C611" s="52" t="s">
        <v>289</v>
      </c>
      <c r="D611" s="52" t="s">
        <v>267</v>
      </c>
      <c r="E611" s="52" t="s">
        <v>827</v>
      </c>
      <c r="F611" s="2"/>
      <c r="G611" s="36">
        <v>-59.47</v>
      </c>
      <c r="H611" s="2"/>
      <c r="I611" s="52" t="s">
        <v>269</v>
      </c>
      <c r="J611" s="2"/>
      <c r="K611" s="2"/>
    </row>
    <row r="612" ht="15.0" customHeight="1">
      <c r="A612" s="49">
        <v>45978.0</v>
      </c>
      <c r="B612" s="52" t="s">
        <v>828</v>
      </c>
      <c r="C612" s="52" t="s">
        <v>28</v>
      </c>
      <c r="D612" s="52" t="s">
        <v>267</v>
      </c>
      <c r="E612" s="52" t="s">
        <v>829</v>
      </c>
      <c r="F612" s="2"/>
      <c r="G612" s="36">
        <v>-34.24</v>
      </c>
      <c r="H612" s="2"/>
      <c r="I612" s="52" t="s">
        <v>269</v>
      </c>
      <c r="J612" s="2"/>
      <c r="K612" s="2"/>
    </row>
    <row r="613" ht="15.0" customHeight="1">
      <c r="A613" s="49">
        <v>45978.0</v>
      </c>
      <c r="B613" s="52" t="s">
        <v>830</v>
      </c>
      <c r="C613" s="52" t="s">
        <v>675</v>
      </c>
      <c r="D613" s="52" t="s">
        <v>267</v>
      </c>
      <c r="E613" s="52" t="s">
        <v>831</v>
      </c>
      <c r="F613" s="2"/>
      <c r="G613" s="36">
        <v>-35.3</v>
      </c>
      <c r="H613" s="2"/>
      <c r="I613" s="52" t="s">
        <v>269</v>
      </c>
      <c r="J613" s="2"/>
      <c r="K613" s="2"/>
    </row>
    <row r="614" ht="15.0" customHeight="1">
      <c r="A614" s="49">
        <v>45978.0</v>
      </c>
      <c r="B614" s="52" t="s">
        <v>830</v>
      </c>
      <c r="C614" s="52" t="s">
        <v>27</v>
      </c>
      <c r="D614" s="52" t="s">
        <v>267</v>
      </c>
      <c r="E614" s="52" t="s">
        <v>832</v>
      </c>
      <c r="F614" s="2"/>
      <c r="G614" s="36">
        <v>-102.72</v>
      </c>
      <c r="H614" s="2"/>
      <c r="I614" s="52" t="s">
        <v>269</v>
      </c>
      <c r="J614" s="2"/>
      <c r="K614" s="2"/>
    </row>
    <row r="615" ht="15.0" customHeight="1">
      <c r="A615" s="49">
        <v>45978.0</v>
      </c>
      <c r="B615" s="52" t="s">
        <v>414</v>
      </c>
      <c r="C615" s="52" t="s">
        <v>160</v>
      </c>
      <c r="D615" s="52" t="s">
        <v>267</v>
      </c>
      <c r="E615" s="52" t="s">
        <v>833</v>
      </c>
      <c r="F615" s="2"/>
      <c r="G615" s="36">
        <v>-38.99</v>
      </c>
      <c r="H615" s="2"/>
      <c r="I615" s="52" t="s">
        <v>269</v>
      </c>
      <c r="J615" s="2"/>
      <c r="K615" s="2"/>
    </row>
    <row r="616" ht="15.0" customHeight="1">
      <c r="A616" s="49">
        <v>45978.0</v>
      </c>
      <c r="B616" s="52" t="s">
        <v>542</v>
      </c>
      <c r="C616" s="52" t="s">
        <v>27</v>
      </c>
      <c r="D616" s="52" t="s">
        <v>267</v>
      </c>
      <c r="E616" s="52" t="s">
        <v>834</v>
      </c>
      <c r="F616" s="2"/>
      <c r="G616" s="36">
        <v>-18.06</v>
      </c>
      <c r="H616" s="2"/>
      <c r="I616" s="52" t="s">
        <v>269</v>
      </c>
      <c r="J616" s="2"/>
      <c r="K616" s="2"/>
    </row>
    <row r="617" ht="15.0" customHeight="1">
      <c r="A617" s="49">
        <v>45978.0</v>
      </c>
      <c r="B617" s="52" t="s">
        <v>171</v>
      </c>
      <c r="C617" s="52" t="s">
        <v>26</v>
      </c>
      <c r="D617" s="52" t="s">
        <v>270</v>
      </c>
      <c r="E617" s="52" t="s">
        <v>439</v>
      </c>
      <c r="F617" s="2"/>
      <c r="G617" s="36">
        <v>-39.18</v>
      </c>
      <c r="H617" s="2"/>
      <c r="I617" s="52" t="s">
        <v>272</v>
      </c>
      <c r="J617" s="2"/>
      <c r="K617" s="2"/>
    </row>
    <row r="618" ht="15.0" customHeight="1">
      <c r="A618" s="49">
        <v>45978.0</v>
      </c>
      <c r="B618" s="52" t="s">
        <v>171</v>
      </c>
      <c r="C618" s="52" t="s">
        <v>26</v>
      </c>
      <c r="D618" s="52" t="s">
        <v>270</v>
      </c>
      <c r="E618" s="52" t="s">
        <v>439</v>
      </c>
      <c r="F618" s="2"/>
      <c r="G618" s="36">
        <v>-5.0</v>
      </c>
      <c r="H618" s="2"/>
      <c r="I618" s="52" t="s">
        <v>272</v>
      </c>
      <c r="J618" s="2"/>
      <c r="K618" s="2"/>
    </row>
    <row r="619" ht="15.0" customHeight="1">
      <c r="A619" s="49">
        <v>45978.0</v>
      </c>
      <c r="B619" s="52" t="s">
        <v>835</v>
      </c>
      <c r="C619" s="52" t="s">
        <v>157</v>
      </c>
      <c r="D619" s="52" t="s">
        <v>270</v>
      </c>
      <c r="E619" s="52" t="s">
        <v>836</v>
      </c>
      <c r="F619" s="2"/>
      <c r="G619" s="36">
        <v>-828.61</v>
      </c>
      <c r="H619" s="2"/>
      <c r="I619" s="52" t="s">
        <v>272</v>
      </c>
      <c r="J619" s="2"/>
      <c r="K619" s="2"/>
    </row>
    <row r="620" ht="15.0" customHeight="1">
      <c r="A620" s="49">
        <v>45978.0</v>
      </c>
      <c r="B620" s="52" t="s">
        <v>837</v>
      </c>
      <c r="C620" s="52" t="s">
        <v>475</v>
      </c>
      <c r="D620" s="52" t="s">
        <v>270</v>
      </c>
      <c r="E620" s="52" t="s">
        <v>838</v>
      </c>
      <c r="F620" s="2"/>
      <c r="G620" s="36">
        <v>-32.67</v>
      </c>
      <c r="H620" s="2"/>
      <c r="I620" s="52" t="s">
        <v>272</v>
      </c>
      <c r="J620" s="2"/>
      <c r="K620" s="2"/>
    </row>
    <row r="621" ht="15.0" customHeight="1">
      <c r="A621" s="49">
        <v>45978.0</v>
      </c>
      <c r="B621" s="52" t="s">
        <v>839</v>
      </c>
      <c r="C621" s="52" t="s">
        <v>563</v>
      </c>
      <c r="D621" s="52" t="s">
        <v>309</v>
      </c>
      <c r="E621" s="52" t="s">
        <v>840</v>
      </c>
      <c r="F621" s="2"/>
      <c r="G621" s="36">
        <v>0.02</v>
      </c>
      <c r="H621" s="2"/>
      <c r="I621" s="52" t="s">
        <v>272</v>
      </c>
      <c r="J621" s="2"/>
      <c r="K621" s="2"/>
    </row>
    <row r="622" ht="15.0" customHeight="1">
      <c r="A622" s="49">
        <v>45978.0</v>
      </c>
      <c r="B622" s="52" t="s">
        <v>301</v>
      </c>
      <c r="C622" s="52" t="s">
        <v>437</v>
      </c>
      <c r="D622" s="52" t="s">
        <v>296</v>
      </c>
      <c r="E622" s="52" t="s">
        <v>841</v>
      </c>
      <c r="F622" s="2"/>
      <c r="G622" s="36">
        <v>-3350.0</v>
      </c>
      <c r="H622" s="2"/>
      <c r="I622" s="52" t="s">
        <v>272</v>
      </c>
      <c r="J622" s="2"/>
      <c r="K622" s="2"/>
    </row>
    <row r="623" ht="15.0" customHeight="1">
      <c r="A623" s="49">
        <v>45977.0</v>
      </c>
      <c r="B623" s="52" t="s">
        <v>842</v>
      </c>
      <c r="C623" s="52" t="s">
        <v>27</v>
      </c>
      <c r="D623" s="52" t="s">
        <v>277</v>
      </c>
      <c r="E623" s="52" t="s">
        <v>843</v>
      </c>
      <c r="F623" s="2"/>
      <c r="G623" s="36">
        <v>-21.67</v>
      </c>
      <c r="H623" s="2"/>
      <c r="I623" s="52" t="s">
        <v>269</v>
      </c>
      <c r="J623" s="2"/>
      <c r="K623" s="2"/>
    </row>
    <row r="624" ht="15.0" customHeight="1">
      <c r="A624" s="49">
        <v>45977.0</v>
      </c>
      <c r="B624" s="52" t="s">
        <v>335</v>
      </c>
      <c r="C624" s="52" t="s">
        <v>152</v>
      </c>
      <c r="D624" s="52" t="s">
        <v>277</v>
      </c>
      <c r="E624" s="52" t="s">
        <v>844</v>
      </c>
      <c r="F624" s="2"/>
      <c r="G624" s="36">
        <v>-11.6</v>
      </c>
      <c r="H624" s="2"/>
      <c r="I624" s="52" t="s">
        <v>269</v>
      </c>
      <c r="J624" s="2"/>
      <c r="K624" s="2"/>
    </row>
    <row r="625" ht="15.0" customHeight="1">
      <c r="A625" s="49">
        <v>45977.0</v>
      </c>
      <c r="B625" s="52" t="s">
        <v>335</v>
      </c>
      <c r="C625" s="52" t="s">
        <v>152</v>
      </c>
      <c r="D625" s="52" t="s">
        <v>270</v>
      </c>
      <c r="E625" s="52" t="s">
        <v>844</v>
      </c>
      <c r="F625" s="2"/>
      <c r="G625" s="36">
        <v>-4.72</v>
      </c>
      <c r="H625" s="2"/>
      <c r="I625" s="52" t="s">
        <v>272</v>
      </c>
      <c r="J625" s="2"/>
      <c r="K625" s="2"/>
    </row>
    <row r="626" ht="15.0" customHeight="1">
      <c r="A626" s="49">
        <v>45977.0</v>
      </c>
      <c r="B626" s="52" t="s">
        <v>409</v>
      </c>
      <c r="C626" s="52" t="s">
        <v>155</v>
      </c>
      <c r="D626" s="52" t="s">
        <v>296</v>
      </c>
      <c r="E626" s="52" t="s">
        <v>410</v>
      </c>
      <c r="F626" s="2"/>
      <c r="G626" s="36">
        <v>-20.0</v>
      </c>
      <c r="H626" s="2"/>
      <c r="I626" s="52" t="s">
        <v>272</v>
      </c>
      <c r="J626" s="2"/>
      <c r="K626" s="2"/>
    </row>
    <row r="627" ht="15.0" customHeight="1">
      <c r="A627" s="49">
        <v>45976.0</v>
      </c>
      <c r="B627" s="52" t="s">
        <v>593</v>
      </c>
      <c r="C627" s="52" t="s">
        <v>308</v>
      </c>
      <c r="D627" s="52" t="s">
        <v>296</v>
      </c>
      <c r="E627" s="52" t="s">
        <v>593</v>
      </c>
      <c r="F627" s="2"/>
      <c r="G627" s="36">
        <v>12.0</v>
      </c>
      <c r="H627" s="2"/>
      <c r="I627" s="52" t="s">
        <v>272</v>
      </c>
      <c r="J627" s="2"/>
      <c r="K627" s="2"/>
    </row>
    <row r="628" ht="15.0" customHeight="1">
      <c r="A628" s="49">
        <v>45976.0</v>
      </c>
      <c r="B628" s="52" t="s">
        <v>593</v>
      </c>
      <c r="C628" s="52" t="s">
        <v>308</v>
      </c>
      <c r="D628" s="52" t="s">
        <v>296</v>
      </c>
      <c r="E628" s="52" t="s">
        <v>593</v>
      </c>
      <c r="F628" s="2"/>
      <c r="G628" s="36">
        <v>863.0</v>
      </c>
      <c r="H628" s="2"/>
      <c r="I628" s="52" t="s">
        <v>272</v>
      </c>
      <c r="J628" s="2"/>
      <c r="K628" s="2"/>
    </row>
    <row r="629" ht="15.0" customHeight="1">
      <c r="A629" s="49">
        <v>45975.0</v>
      </c>
      <c r="B629" s="52" t="s">
        <v>845</v>
      </c>
      <c r="C629" s="52" t="s">
        <v>152</v>
      </c>
      <c r="D629" s="52" t="s">
        <v>277</v>
      </c>
      <c r="E629" s="52" t="s">
        <v>846</v>
      </c>
      <c r="F629" s="2"/>
      <c r="G629" s="36">
        <v>-33.88</v>
      </c>
      <c r="H629" s="2"/>
      <c r="I629" s="52" t="s">
        <v>269</v>
      </c>
      <c r="J629" s="2"/>
      <c r="K629" s="2"/>
    </row>
    <row r="630" ht="15.0" customHeight="1">
      <c r="A630" s="49">
        <v>45975.0</v>
      </c>
      <c r="B630" s="52" t="s">
        <v>572</v>
      </c>
      <c r="C630" s="52" t="s">
        <v>152</v>
      </c>
      <c r="D630" s="52" t="s">
        <v>267</v>
      </c>
      <c r="E630" s="52" t="s">
        <v>847</v>
      </c>
      <c r="F630" s="2"/>
      <c r="G630" s="36">
        <v>-32.04</v>
      </c>
      <c r="H630" s="2"/>
      <c r="I630" s="52" t="s">
        <v>269</v>
      </c>
      <c r="J630" s="2"/>
      <c r="K630" s="2"/>
    </row>
    <row r="631" ht="15.0" customHeight="1">
      <c r="A631" s="49">
        <v>45975.0</v>
      </c>
      <c r="B631" s="52" t="s">
        <v>442</v>
      </c>
      <c r="C631" s="52" t="s">
        <v>159</v>
      </c>
      <c r="D631" s="52" t="s">
        <v>267</v>
      </c>
      <c r="E631" s="52" t="s">
        <v>848</v>
      </c>
      <c r="F631" s="2"/>
      <c r="G631" s="36">
        <v>-140.0</v>
      </c>
      <c r="H631" s="2"/>
      <c r="I631" s="52" t="s">
        <v>269</v>
      </c>
      <c r="J631" s="2"/>
      <c r="K631" s="2"/>
    </row>
    <row r="632" ht="15.0" customHeight="1">
      <c r="A632" s="49">
        <v>45975.0</v>
      </c>
      <c r="B632" s="52" t="s">
        <v>164</v>
      </c>
      <c r="C632" s="52" t="s">
        <v>27</v>
      </c>
      <c r="D632" s="52" t="s">
        <v>273</v>
      </c>
      <c r="E632" s="52" t="s">
        <v>364</v>
      </c>
      <c r="F632" s="2"/>
      <c r="G632" s="36">
        <v>-5.96</v>
      </c>
      <c r="H632" s="2"/>
      <c r="I632" s="52" t="s">
        <v>272</v>
      </c>
      <c r="J632" s="2"/>
      <c r="K632" s="2"/>
    </row>
    <row r="633" ht="15.0" customHeight="1">
      <c r="A633" s="49">
        <v>45975.0</v>
      </c>
      <c r="B633" s="52" t="s">
        <v>166</v>
      </c>
      <c r="C633" s="52" t="s">
        <v>26</v>
      </c>
      <c r="D633" s="52" t="s">
        <v>270</v>
      </c>
      <c r="E633" s="52" t="s">
        <v>374</v>
      </c>
      <c r="F633" s="2"/>
      <c r="G633" s="36">
        <v>-263.38</v>
      </c>
      <c r="H633" s="2"/>
      <c r="I633" s="52" t="s">
        <v>272</v>
      </c>
      <c r="J633" s="2"/>
      <c r="K633" s="2"/>
    </row>
    <row r="634" ht="15.0" customHeight="1">
      <c r="A634" s="49">
        <v>45975.0</v>
      </c>
      <c r="B634" s="52" t="s">
        <v>845</v>
      </c>
      <c r="C634" s="52" t="s">
        <v>387</v>
      </c>
      <c r="D634" s="52" t="s">
        <v>270</v>
      </c>
      <c r="E634" s="52" t="s">
        <v>846</v>
      </c>
      <c r="F634" s="2"/>
      <c r="G634" s="36">
        <v>-12.95</v>
      </c>
      <c r="H634" s="2"/>
      <c r="I634" s="52" t="s">
        <v>272</v>
      </c>
      <c r="J634" s="2"/>
      <c r="K634" s="2"/>
    </row>
    <row r="635" ht="15.0" customHeight="1">
      <c r="A635" s="49">
        <v>45975.0</v>
      </c>
      <c r="B635" s="52" t="s">
        <v>849</v>
      </c>
      <c r="C635" s="52" t="s">
        <v>28</v>
      </c>
      <c r="D635" s="52" t="s">
        <v>353</v>
      </c>
      <c r="E635" s="52" t="s">
        <v>850</v>
      </c>
      <c r="F635" s="2"/>
      <c r="G635" s="36">
        <v>-42.62</v>
      </c>
      <c r="H635" s="2"/>
      <c r="I635" s="52" t="s">
        <v>272</v>
      </c>
      <c r="J635" s="2"/>
      <c r="K635" s="2"/>
    </row>
    <row r="636" ht="15.0" customHeight="1">
      <c r="A636" s="49">
        <v>45975.0</v>
      </c>
      <c r="B636" s="52" t="s">
        <v>166</v>
      </c>
      <c r="C636" s="52" t="s">
        <v>26</v>
      </c>
      <c r="D636" s="52" t="s">
        <v>353</v>
      </c>
      <c r="E636" s="52" t="s">
        <v>851</v>
      </c>
      <c r="F636" s="2"/>
      <c r="G636" s="36">
        <v>-72.53</v>
      </c>
      <c r="H636" s="2"/>
      <c r="I636" s="52" t="s">
        <v>272</v>
      </c>
      <c r="J636" s="2"/>
      <c r="K636" s="2"/>
    </row>
    <row r="637" ht="15.0" customHeight="1">
      <c r="A637" s="49">
        <v>45975.0</v>
      </c>
      <c r="B637" s="52" t="s">
        <v>852</v>
      </c>
      <c r="C637" s="52" t="s">
        <v>853</v>
      </c>
      <c r="D637" s="52" t="s">
        <v>353</v>
      </c>
      <c r="E637" s="52" t="s">
        <v>854</v>
      </c>
      <c r="F637" s="2"/>
      <c r="G637" s="36">
        <v>-6.5</v>
      </c>
      <c r="H637" s="2"/>
      <c r="I637" s="52" t="s">
        <v>272</v>
      </c>
      <c r="J637" s="2"/>
      <c r="K637" s="2"/>
    </row>
    <row r="638" ht="15.0" customHeight="1">
      <c r="A638" s="49">
        <v>45975.0</v>
      </c>
      <c r="B638" s="52" t="s">
        <v>852</v>
      </c>
      <c r="C638" s="52" t="s">
        <v>853</v>
      </c>
      <c r="D638" s="52" t="s">
        <v>353</v>
      </c>
      <c r="E638" s="52" t="s">
        <v>854</v>
      </c>
      <c r="F638" s="2"/>
      <c r="G638" s="36">
        <v>-6.5</v>
      </c>
      <c r="H638" s="2"/>
      <c r="I638" s="52" t="s">
        <v>272</v>
      </c>
      <c r="J638" s="2"/>
      <c r="K638" s="2"/>
    </row>
    <row r="639" ht="15.0" customHeight="1">
      <c r="A639" s="49">
        <v>45975.0</v>
      </c>
      <c r="B639" s="52" t="s">
        <v>733</v>
      </c>
      <c r="C639" s="52" t="s">
        <v>437</v>
      </c>
      <c r="D639" s="52" t="s">
        <v>353</v>
      </c>
      <c r="E639" s="52" t="s">
        <v>741</v>
      </c>
      <c r="F639" s="2"/>
      <c r="G639" s="36">
        <v>891.96</v>
      </c>
      <c r="H639" s="2"/>
      <c r="I639" s="52" t="s">
        <v>272</v>
      </c>
      <c r="J639" s="2"/>
      <c r="K639" s="2"/>
    </row>
    <row r="640" ht="15.0" customHeight="1">
      <c r="A640" s="49">
        <v>45975.0</v>
      </c>
      <c r="B640" s="52" t="s">
        <v>447</v>
      </c>
      <c r="C640" s="52" t="s">
        <v>437</v>
      </c>
      <c r="D640" s="52" t="s">
        <v>270</v>
      </c>
      <c r="E640" s="52" t="s">
        <v>448</v>
      </c>
      <c r="F640" s="2"/>
      <c r="G640" s="36">
        <v>3350.0</v>
      </c>
      <c r="H640" s="2"/>
      <c r="I640" s="52" t="s">
        <v>272</v>
      </c>
      <c r="J640" s="2"/>
      <c r="K640" s="2"/>
    </row>
    <row r="641" ht="15.0" customHeight="1">
      <c r="A641" s="49">
        <v>45975.0</v>
      </c>
      <c r="B641" s="52" t="s">
        <v>301</v>
      </c>
      <c r="C641" s="52" t="s">
        <v>289</v>
      </c>
      <c r="D641" s="52" t="s">
        <v>273</v>
      </c>
      <c r="E641" s="52" t="s">
        <v>302</v>
      </c>
      <c r="F641" s="2"/>
      <c r="G641" s="36">
        <v>-250.0</v>
      </c>
      <c r="H641" s="2"/>
      <c r="I641" s="52" t="s">
        <v>272</v>
      </c>
      <c r="J641" s="2"/>
      <c r="K641" s="2"/>
    </row>
    <row r="642" ht="15.0" customHeight="1">
      <c r="A642" s="49">
        <v>45975.0</v>
      </c>
      <c r="B642" s="52" t="s">
        <v>799</v>
      </c>
      <c r="C642" s="52" t="s">
        <v>289</v>
      </c>
      <c r="D642" s="52" t="s">
        <v>309</v>
      </c>
      <c r="E642" s="52" t="s">
        <v>434</v>
      </c>
      <c r="F642" s="2"/>
      <c r="G642" s="36">
        <v>5500.0</v>
      </c>
      <c r="H642" s="2"/>
      <c r="I642" s="52" t="s">
        <v>272</v>
      </c>
      <c r="J642" s="2"/>
      <c r="K642" s="2"/>
    </row>
    <row r="643" ht="15.0" customHeight="1">
      <c r="A643" s="49">
        <v>45975.0</v>
      </c>
      <c r="B643" s="52" t="s">
        <v>733</v>
      </c>
      <c r="C643" s="52" t="s">
        <v>437</v>
      </c>
      <c r="D643" s="52" t="s">
        <v>296</v>
      </c>
      <c r="E643" s="52" t="s">
        <v>734</v>
      </c>
      <c r="F643" s="2"/>
      <c r="G643" s="36">
        <v>-891.96</v>
      </c>
      <c r="H643" s="2"/>
      <c r="I643" s="52" t="s">
        <v>272</v>
      </c>
      <c r="J643" s="2"/>
      <c r="K643" s="2"/>
    </row>
    <row r="644" ht="15.0" customHeight="1">
      <c r="A644" s="49">
        <v>45975.0</v>
      </c>
      <c r="B644" s="52" t="s">
        <v>305</v>
      </c>
      <c r="C644" s="52" t="s">
        <v>289</v>
      </c>
      <c r="D644" s="52" t="s">
        <v>296</v>
      </c>
      <c r="E644" s="52" t="s">
        <v>433</v>
      </c>
      <c r="F644" s="2"/>
      <c r="G644" s="36">
        <v>-5500.0</v>
      </c>
      <c r="H644" s="2"/>
      <c r="I644" s="52" t="s">
        <v>272</v>
      </c>
      <c r="J644" s="2"/>
      <c r="K644" s="2"/>
    </row>
    <row r="645" ht="15.0" customHeight="1">
      <c r="A645" s="49">
        <v>45974.0</v>
      </c>
      <c r="B645" s="52" t="s">
        <v>91</v>
      </c>
      <c r="C645" s="52" t="s">
        <v>27</v>
      </c>
      <c r="D645" s="52" t="s">
        <v>277</v>
      </c>
      <c r="E645" s="52" t="s">
        <v>855</v>
      </c>
      <c r="F645" s="2"/>
      <c r="G645" s="36">
        <v>-236.44</v>
      </c>
      <c r="H645" s="2"/>
      <c r="I645" s="52" t="s">
        <v>269</v>
      </c>
      <c r="J645" s="2"/>
      <c r="K645" s="2"/>
    </row>
    <row r="646" ht="15.0" customHeight="1">
      <c r="A646" s="49">
        <v>45974.0</v>
      </c>
      <c r="B646" s="52" t="s">
        <v>283</v>
      </c>
      <c r="C646" s="52" t="s">
        <v>154</v>
      </c>
      <c r="D646" s="52" t="s">
        <v>277</v>
      </c>
      <c r="E646" s="52" t="s">
        <v>298</v>
      </c>
      <c r="F646" s="2"/>
      <c r="G646" s="36">
        <v>-65.19</v>
      </c>
      <c r="H646" s="2"/>
      <c r="I646" s="52" t="s">
        <v>269</v>
      </c>
      <c r="J646" s="2"/>
      <c r="K646" s="2"/>
    </row>
    <row r="647" ht="15.0" customHeight="1">
      <c r="A647" s="49">
        <v>45974.0</v>
      </c>
      <c r="B647" s="52" t="s">
        <v>333</v>
      </c>
      <c r="C647" s="52" t="s">
        <v>158</v>
      </c>
      <c r="D647" s="52" t="s">
        <v>267</v>
      </c>
      <c r="E647" s="52" t="s">
        <v>856</v>
      </c>
      <c r="F647" s="2"/>
      <c r="G647" s="36">
        <v>-75.0</v>
      </c>
      <c r="H647" s="2"/>
      <c r="I647" s="52" t="s">
        <v>269</v>
      </c>
      <c r="J647" s="2"/>
      <c r="K647" s="2"/>
    </row>
    <row r="648" ht="15.0" customHeight="1">
      <c r="A648" s="49">
        <v>45974.0</v>
      </c>
      <c r="B648" s="52" t="s">
        <v>344</v>
      </c>
      <c r="C648" s="52" t="s">
        <v>153</v>
      </c>
      <c r="D648" s="52" t="s">
        <v>267</v>
      </c>
      <c r="E648" s="52" t="s">
        <v>857</v>
      </c>
      <c r="F648" s="2"/>
      <c r="G648" s="36">
        <v>-4.99</v>
      </c>
      <c r="H648" s="2"/>
      <c r="I648" s="52" t="s">
        <v>269</v>
      </c>
      <c r="J648" s="2"/>
      <c r="K648" s="2"/>
    </row>
    <row r="649" ht="15.0" customHeight="1">
      <c r="A649" s="49">
        <v>45974.0</v>
      </c>
      <c r="B649" s="52" t="s">
        <v>91</v>
      </c>
      <c r="C649" s="52" t="s">
        <v>27</v>
      </c>
      <c r="D649" s="52" t="s">
        <v>267</v>
      </c>
      <c r="E649" s="52" t="s">
        <v>858</v>
      </c>
      <c r="F649" s="2"/>
      <c r="G649" s="36">
        <v>-96.92</v>
      </c>
      <c r="H649" s="2"/>
      <c r="I649" s="52" t="s">
        <v>269</v>
      </c>
      <c r="J649" s="2"/>
      <c r="K649" s="2"/>
    </row>
    <row r="650" ht="15.0" customHeight="1">
      <c r="A650" s="49">
        <v>45974.0</v>
      </c>
      <c r="B650" s="52" t="s">
        <v>859</v>
      </c>
      <c r="C650" s="52" t="s">
        <v>27</v>
      </c>
      <c r="D650" s="52" t="s">
        <v>267</v>
      </c>
      <c r="E650" s="52" t="s">
        <v>860</v>
      </c>
      <c r="F650" s="2"/>
      <c r="G650" s="36">
        <v>-135.25</v>
      </c>
      <c r="H650" s="2"/>
      <c r="I650" s="52" t="s">
        <v>269</v>
      </c>
      <c r="J650" s="2"/>
      <c r="K650" s="2"/>
    </row>
    <row r="651" ht="15.0" customHeight="1">
      <c r="A651" s="49">
        <v>45974.0</v>
      </c>
      <c r="B651" s="52" t="s">
        <v>861</v>
      </c>
      <c r="C651" s="52" t="s">
        <v>27</v>
      </c>
      <c r="D651" s="52" t="s">
        <v>267</v>
      </c>
      <c r="E651" s="52" t="s">
        <v>862</v>
      </c>
      <c r="F651" s="2"/>
      <c r="G651" s="36">
        <v>-355.01</v>
      </c>
      <c r="H651" s="2"/>
      <c r="I651" s="52" t="s">
        <v>269</v>
      </c>
      <c r="J651" s="2"/>
      <c r="K651" s="2"/>
    </row>
    <row r="652" ht="15.0" customHeight="1">
      <c r="A652" s="49">
        <v>45974.0</v>
      </c>
      <c r="B652" s="52" t="s">
        <v>458</v>
      </c>
      <c r="C652" s="52" t="s">
        <v>455</v>
      </c>
      <c r="D652" s="52" t="s">
        <v>273</v>
      </c>
      <c r="E652" s="52" t="s">
        <v>459</v>
      </c>
      <c r="F652" s="2"/>
      <c r="G652" s="36">
        <v>-350.0</v>
      </c>
      <c r="H652" s="2"/>
      <c r="I652" s="52" t="s">
        <v>272</v>
      </c>
      <c r="J652" s="2"/>
      <c r="K652" s="2"/>
    </row>
    <row r="653" ht="15.0" customHeight="1">
      <c r="A653" s="49">
        <v>45974.0</v>
      </c>
      <c r="B653" s="52" t="s">
        <v>863</v>
      </c>
      <c r="C653" s="52" t="s">
        <v>864</v>
      </c>
      <c r="D653" s="52" t="s">
        <v>353</v>
      </c>
      <c r="E653" s="52" t="s">
        <v>865</v>
      </c>
      <c r="F653" s="2"/>
      <c r="G653" s="36">
        <v>-90.0</v>
      </c>
      <c r="H653" s="2"/>
      <c r="I653" s="52" t="s">
        <v>272</v>
      </c>
      <c r="J653" s="2"/>
      <c r="K653" s="2"/>
    </row>
    <row r="654" ht="15.0" customHeight="1">
      <c r="A654" s="49">
        <v>45974.0</v>
      </c>
      <c r="B654" s="52" t="s">
        <v>431</v>
      </c>
      <c r="C654" s="52" t="s">
        <v>289</v>
      </c>
      <c r="D654" s="52" t="s">
        <v>296</v>
      </c>
      <c r="E654" s="52" t="s">
        <v>432</v>
      </c>
      <c r="F654" s="2"/>
      <c r="G654" s="36">
        <v>2750.0</v>
      </c>
      <c r="H654" s="2"/>
      <c r="I654" s="52" t="s">
        <v>272</v>
      </c>
      <c r="J654" s="2"/>
      <c r="K654" s="2"/>
    </row>
    <row r="655" ht="15.0" customHeight="1">
      <c r="A655" s="49">
        <v>45974.0</v>
      </c>
      <c r="B655" s="52" t="s">
        <v>431</v>
      </c>
      <c r="C655" s="52" t="s">
        <v>289</v>
      </c>
      <c r="D655" s="52" t="s">
        <v>296</v>
      </c>
      <c r="E655" s="52" t="s">
        <v>432</v>
      </c>
      <c r="F655" s="2"/>
      <c r="G655" s="36">
        <v>2750.0</v>
      </c>
      <c r="H655" s="2"/>
      <c r="I655" s="52" t="s">
        <v>272</v>
      </c>
      <c r="J655" s="2"/>
      <c r="K655" s="2"/>
    </row>
    <row r="656" ht="15.0" customHeight="1">
      <c r="A656" s="49">
        <v>45973.0</v>
      </c>
      <c r="B656" s="52" t="s">
        <v>164</v>
      </c>
      <c r="C656" s="52" t="s">
        <v>27</v>
      </c>
      <c r="D656" s="52" t="s">
        <v>277</v>
      </c>
      <c r="E656" s="52" t="s">
        <v>274</v>
      </c>
      <c r="F656" s="2"/>
      <c r="G656" s="36">
        <v>-33.52</v>
      </c>
      <c r="H656" s="2"/>
      <c r="I656" s="52" t="s">
        <v>269</v>
      </c>
      <c r="J656" s="2"/>
      <c r="K656" s="2"/>
    </row>
    <row r="657" ht="15.0" customHeight="1">
      <c r="A657" s="49">
        <v>45973.0</v>
      </c>
      <c r="B657" s="52" t="s">
        <v>164</v>
      </c>
      <c r="C657" s="52" t="s">
        <v>27</v>
      </c>
      <c r="D657" s="52" t="s">
        <v>277</v>
      </c>
      <c r="E657" s="52" t="s">
        <v>274</v>
      </c>
      <c r="F657" s="2"/>
      <c r="G657" s="36">
        <v>-27.21</v>
      </c>
      <c r="H657" s="2"/>
      <c r="I657" s="52" t="s">
        <v>269</v>
      </c>
      <c r="J657" s="2"/>
      <c r="K657" s="2"/>
    </row>
    <row r="658" ht="15.0" customHeight="1">
      <c r="A658" s="49">
        <v>45973.0</v>
      </c>
      <c r="B658" s="52" t="s">
        <v>91</v>
      </c>
      <c r="C658" s="52" t="s">
        <v>27</v>
      </c>
      <c r="D658" s="52" t="s">
        <v>267</v>
      </c>
      <c r="E658" s="52" t="s">
        <v>866</v>
      </c>
      <c r="F658" s="2"/>
      <c r="G658" s="36">
        <v>-12.96</v>
      </c>
      <c r="H658" s="2"/>
      <c r="I658" s="52" t="s">
        <v>269</v>
      </c>
      <c r="J658" s="2"/>
      <c r="K658" s="2"/>
    </row>
    <row r="659" ht="15.0" customHeight="1">
      <c r="A659" s="49">
        <v>45973.0</v>
      </c>
      <c r="B659" s="52" t="s">
        <v>91</v>
      </c>
      <c r="C659" s="52" t="s">
        <v>27</v>
      </c>
      <c r="D659" s="52" t="s">
        <v>267</v>
      </c>
      <c r="E659" s="52" t="s">
        <v>858</v>
      </c>
      <c r="F659" s="2"/>
      <c r="G659" s="36">
        <v>-41.38</v>
      </c>
      <c r="H659" s="2"/>
      <c r="I659" s="52" t="s">
        <v>269</v>
      </c>
      <c r="J659" s="2"/>
      <c r="K659" s="2"/>
    </row>
    <row r="660" ht="15.0" customHeight="1">
      <c r="A660" s="49">
        <v>45973.0</v>
      </c>
      <c r="B660" s="52" t="s">
        <v>91</v>
      </c>
      <c r="C660" s="52" t="s">
        <v>27</v>
      </c>
      <c r="D660" s="52" t="s">
        <v>267</v>
      </c>
      <c r="E660" s="52" t="s">
        <v>858</v>
      </c>
      <c r="F660" s="2"/>
      <c r="G660" s="36">
        <v>-5.45</v>
      </c>
      <c r="H660" s="2"/>
      <c r="I660" s="52" t="s">
        <v>269</v>
      </c>
      <c r="J660" s="2"/>
      <c r="K660" s="2"/>
    </row>
    <row r="661" ht="15.0" customHeight="1">
      <c r="A661" s="49">
        <v>45973.0</v>
      </c>
      <c r="B661" s="52" t="s">
        <v>91</v>
      </c>
      <c r="C661" s="52" t="s">
        <v>27</v>
      </c>
      <c r="D661" s="52" t="s">
        <v>267</v>
      </c>
      <c r="E661" s="52" t="s">
        <v>867</v>
      </c>
      <c r="F661" s="2"/>
      <c r="G661" s="36">
        <v>-233.27</v>
      </c>
      <c r="H661" s="2"/>
      <c r="I661" s="52" t="s">
        <v>269</v>
      </c>
      <c r="J661" s="2"/>
      <c r="K661" s="2"/>
    </row>
    <row r="662" ht="15.0" customHeight="1">
      <c r="A662" s="49">
        <v>45973.0</v>
      </c>
      <c r="B662" s="52" t="s">
        <v>91</v>
      </c>
      <c r="C662" s="52" t="s">
        <v>27</v>
      </c>
      <c r="D662" s="52" t="s">
        <v>267</v>
      </c>
      <c r="E662" s="52" t="s">
        <v>868</v>
      </c>
      <c r="F662" s="2"/>
      <c r="G662" s="36">
        <v>-12.95</v>
      </c>
      <c r="H662" s="2"/>
      <c r="I662" s="52" t="s">
        <v>269</v>
      </c>
      <c r="J662" s="2"/>
      <c r="K662" s="2"/>
    </row>
    <row r="663" ht="15.0" customHeight="1">
      <c r="A663" s="49">
        <v>45973.0</v>
      </c>
      <c r="B663" s="52" t="s">
        <v>164</v>
      </c>
      <c r="C663" s="52" t="s">
        <v>27</v>
      </c>
      <c r="D663" s="52" t="s">
        <v>270</v>
      </c>
      <c r="E663" s="52" t="s">
        <v>869</v>
      </c>
      <c r="F663" s="2"/>
      <c r="G663" s="36">
        <v>-2.99</v>
      </c>
      <c r="H663" s="2"/>
      <c r="I663" s="52" t="s">
        <v>272</v>
      </c>
      <c r="J663" s="2"/>
      <c r="K663" s="2"/>
    </row>
    <row r="664" ht="15.0" customHeight="1">
      <c r="A664" s="49">
        <v>45973.0</v>
      </c>
      <c r="B664" s="52" t="s">
        <v>171</v>
      </c>
      <c r="C664" s="52" t="s">
        <v>26</v>
      </c>
      <c r="D664" s="52" t="s">
        <v>273</v>
      </c>
      <c r="E664" s="52" t="s">
        <v>439</v>
      </c>
      <c r="F664" s="2"/>
      <c r="G664" s="36">
        <v>-28.78</v>
      </c>
      <c r="H664" s="2"/>
      <c r="I664" s="52" t="s">
        <v>272</v>
      </c>
      <c r="J664" s="2"/>
      <c r="K664" s="2"/>
    </row>
    <row r="665" ht="15.0" customHeight="1">
      <c r="A665" s="49">
        <v>45973.0</v>
      </c>
      <c r="B665" s="52" t="s">
        <v>647</v>
      </c>
      <c r="C665" s="52" t="s">
        <v>157</v>
      </c>
      <c r="D665" s="52" t="s">
        <v>270</v>
      </c>
      <c r="E665" s="52" t="s">
        <v>648</v>
      </c>
      <c r="F665" s="2"/>
      <c r="G665" s="36">
        <v>-116.19</v>
      </c>
      <c r="H665" s="2"/>
      <c r="I665" s="52" t="s">
        <v>272</v>
      </c>
      <c r="J665" s="2"/>
      <c r="K665" s="2"/>
    </row>
    <row r="666" ht="15.0" customHeight="1">
      <c r="A666" s="49">
        <v>45973.0</v>
      </c>
      <c r="B666" s="52" t="s">
        <v>474</v>
      </c>
      <c r="C666" s="52" t="s">
        <v>153</v>
      </c>
      <c r="D666" s="52" t="s">
        <v>296</v>
      </c>
      <c r="E666" s="52" t="s">
        <v>476</v>
      </c>
      <c r="F666" s="2"/>
      <c r="G666" s="36">
        <v>-20.0</v>
      </c>
      <c r="H666" s="2"/>
      <c r="I666" s="52" t="s">
        <v>272</v>
      </c>
      <c r="J666" s="2"/>
      <c r="K666" s="2"/>
    </row>
    <row r="667" ht="15.0" customHeight="1">
      <c r="A667" s="49">
        <v>45972.0</v>
      </c>
      <c r="B667" s="52" t="s">
        <v>164</v>
      </c>
      <c r="C667" s="52" t="s">
        <v>27</v>
      </c>
      <c r="D667" s="52" t="s">
        <v>277</v>
      </c>
      <c r="E667" s="52" t="s">
        <v>274</v>
      </c>
      <c r="F667" s="2"/>
      <c r="G667" s="36">
        <v>-9.56</v>
      </c>
      <c r="H667" s="2"/>
      <c r="I667" s="52" t="s">
        <v>269</v>
      </c>
      <c r="J667" s="2"/>
      <c r="K667" s="2"/>
    </row>
    <row r="668" ht="15.0" customHeight="1">
      <c r="A668" s="49">
        <v>45972.0</v>
      </c>
      <c r="B668" s="52" t="s">
        <v>164</v>
      </c>
      <c r="C668" s="52" t="s">
        <v>27</v>
      </c>
      <c r="D668" s="52" t="s">
        <v>273</v>
      </c>
      <c r="E668" s="52" t="s">
        <v>274</v>
      </c>
      <c r="F668" s="2"/>
      <c r="G668" s="36">
        <v>-16.28</v>
      </c>
      <c r="H668" s="2"/>
      <c r="I668" s="52" t="s">
        <v>272</v>
      </c>
      <c r="J668" s="2"/>
      <c r="K668" s="2"/>
    </row>
    <row r="669" ht="15.0" customHeight="1">
      <c r="A669" s="49">
        <v>45972.0</v>
      </c>
      <c r="B669" s="52" t="s">
        <v>171</v>
      </c>
      <c r="C669" s="52" t="s">
        <v>26</v>
      </c>
      <c r="D669" s="52" t="s">
        <v>270</v>
      </c>
      <c r="E669" s="52" t="s">
        <v>439</v>
      </c>
      <c r="F669" s="2"/>
      <c r="G669" s="36">
        <v>-56.84</v>
      </c>
      <c r="H669" s="2"/>
      <c r="I669" s="52" t="s">
        <v>272</v>
      </c>
      <c r="J669" s="2"/>
      <c r="K669" s="2"/>
    </row>
    <row r="670" ht="15.0" customHeight="1">
      <c r="A670" s="49">
        <v>45972.0</v>
      </c>
      <c r="B670" s="52" t="s">
        <v>171</v>
      </c>
      <c r="C670" s="52" t="s">
        <v>26</v>
      </c>
      <c r="D670" s="52" t="s">
        <v>270</v>
      </c>
      <c r="E670" s="52" t="s">
        <v>439</v>
      </c>
      <c r="F670" s="2"/>
      <c r="G670" s="36">
        <v>-5.0</v>
      </c>
      <c r="H670" s="2"/>
      <c r="I670" s="52" t="s">
        <v>272</v>
      </c>
      <c r="J670" s="2"/>
      <c r="K670" s="2"/>
    </row>
    <row r="671" ht="15.0" customHeight="1">
      <c r="A671" s="49">
        <v>45972.0</v>
      </c>
      <c r="B671" s="52" t="s">
        <v>321</v>
      </c>
      <c r="C671" s="52" t="s">
        <v>152</v>
      </c>
      <c r="D671" s="52" t="s">
        <v>270</v>
      </c>
      <c r="E671" s="52" t="s">
        <v>323</v>
      </c>
      <c r="F671" s="2"/>
      <c r="G671" s="36">
        <v>-48.2</v>
      </c>
      <c r="H671" s="2"/>
      <c r="I671" s="52" t="s">
        <v>272</v>
      </c>
      <c r="J671" s="2"/>
      <c r="K671" s="2"/>
    </row>
    <row r="672" ht="15.0" customHeight="1">
      <c r="A672" s="49">
        <v>45972.0</v>
      </c>
      <c r="B672" s="52" t="s">
        <v>321</v>
      </c>
      <c r="C672" s="52" t="s">
        <v>152</v>
      </c>
      <c r="D672" s="52" t="s">
        <v>270</v>
      </c>
      <c r="E672" s="52" t="s">
        <v>323</v>
      </c>
      <c r="F672" s="2"/>
      <c r="G672" s="36">
        <v>-3.86</v>
      </c>
      <c r="H672" s="2"/>
      <c r="I672" s="52" t="s">
        <v>272</v>
      </c>
      <c r="J672" s="2"/>
      <c r="K672" s="2"/>
    </row>
    <row r="673" ht="15.0" customHeight="1">
      <c r="A673" s="49">
        <v>45971.0</v>
      </c>
      <c r="B673" s="52" t="s">
        <v>428</v>
      </c>
      <c r="C673" s="52" t="s">
        <v>26</v>
      </c>
      <c r="D673" s="52" t="s">
        <v>277</v>
      </c>
      <c r="E673" s="52" t="s">
        <v>707</v>
      </c>
      <c r="F673" s="2"/>
      <c r="G673" s="36">
        <v>-86.79</v>
      </c>
      <c r="H673" s="2"/>
      <c r="I673" s="52" t="s">
        <v>269</v>
      </c>
      <c r="J673" s="2"/>
      <c r="K673" s="2"/>
    </row>
    <row r="674" ht="15.0" customHeight="1">
      <c r="A674" s="49">
        <v>45971.0</v>
      </c>
      <c r="B674" s="52" t="s">
        <v>164</v>
      </c>
      <c r="C674" s="52" t="s">
        <v>27</v>
      </c>
      <c r="D674" s="52" t="s">
        <v>277</v>
      </c>
      <c r="E674" s="52" t="s">
        <v>364</v>
      </c>
      <c r="F674" s="2"/>
      <c r="G674" s="36">
        <v>-23.96</v>
      </c>
      <c r="H674" s="2"/>
      <c r="I674" s="52" t="s">
        <v>269</v>
      </c>
      <c r="J674" s="2"/>
      <c r="K674" s="2"/>
    </row>
    <row r="675" ht="15.0" customHeight="1">
      <c r="A675" s="49">
        <v>45971.0</v>
      </c>
      <c r="B675" s="52" t="s">
        <v>164</v>
      </c>
      <c r="C675" s="52" t="s">
        <v>27</v>
      </c>
      <c r="D675" s="52" t="s">
        <v>277</v>
      </c>
      <c r="E675" s="52" t="s">
        <v>274</v>
      </c>
      <c r="F675" s="2"/>
      <c r="G675" s="36">
        <v>-32.33</v>
      </c>
      <c r="H675" s="2"/>
      <c r="I675" s="52" t="s">
        <v>269</v>
      </c>
      <c r="J675" s="2"/>
      <c r="K675" s="2"/>
    </row>
    <row r="676" ht="15.0" customHeight="1">
      <c r="A676" s="49">
        <v>45971.0</v>
      </c>
      <c r="B676" s="52" t="s">
        <v>91</v>
      </c>
      <c r="C676" s="52" t="s">
        <v>27</v>
      </c>
      <c r="D676" s="52" t="s">
        <v>267</v>
      </c>
      <c r="E676" s="52" t="s">
        <v>870</v>
      </c>
      <c r="F676" s="2"/>
      <c r="G676" s="36">
        <v>-3.27</v>
      </c>
      <c r="H676" s="2"/>
      <c r="I676" s="52" t="s">
        <v>269</v>
      </c>
      <c r="J676" s="2"/>
      <c r="K676" s="2"/>
    </row>
    <row r="677" ht="15.0" customHeight="1">
      <c r="A677" s="49">
        <v>45971.0</v>
      </c>
      <c r="B677" s="52" t="s">
        <v>91</v>
      </c>
      <c r="C677" s="52" t="s">
        <v>27</v>
      </c>
      <c r="D677" s="52" t="s">
        <v>267</v>
      </c>
      <c r="E677" s="52" t="s">
        <v>871</v>
      </c>
      <c r="F677" s="2"/>
      <c r="G677" s="36">
        <v>-16.32</v>
      </c>
      <c r="H677" s="2"/>
      <c r="I677" s="52" t="s">
        <v>269</v>
      </c>
      <c r="J677" s="2"/>
      <c r="K677" s="2"/>
    </row>
    <row r="678" ht="15.0" customHeight="1">
      <c r="A678" s="49">
        <v>45971.0</v>
      </c>
      <c r="B678" s="52" t="s">
        <v>91</v>
      </c>
      <c r="C678" s="52" t="s">
        <v>27</v>
      </c>
      <c r="D678" s="52" t="s">
        <v>267</v>
      </c>
      <c r="E678" s="52" t="s">
        <v>872</v>
      </c>
      <c r="F678" s="2"/>
      <c r="G678" s="36">
        <v>-64.75</v>
      </c>
      <c r="H678" s="2"/>
      <c r="I678" s="52" t="s">
        <v>269</v>
      </c>
      <c r="J678" s="2"/>
      <c r="K678" s="2"/>
    </row>
    <row r="679" ht="15.0" customHeight="1">
      <c r="A679" s="49">
        <v>45971.0</v>
      </c>
      <c r="B679" s="52" t="s">
        <v>873</v>
      </c>
      <c r="C679" s="52" t="s">
        <v>160</v>
      </c>
      <c r="D679" s="52" t="s">
        <v>267</v>
      </c>
      <c r="E679" s="52" t="s">
        <v>874</v>
      </c>
      <c r="F679" s="2"/>
      <c r="G679" s="36">
        <v>-117.59</v>
      </c>
      <c r="H679" s="2"/>
      <c r="I679" s="52" t="s">
        <v>269</v>
      </c>
      <c r="J679" s="2"/>
      <c r="K679" s="2"/>
    </row>
    <row r="680" ht="15.0" customHeight="1">
      <c r="A680" s="49">
        <v>45971.0</v>
      </c>
      <c r="B680" s="52" t="s">
        <v>794</v>
      </c>
      <c r="C680" s="52" t="s">
        <v>28</v>
      </c>
      <c r="D680" s="52" t="s">
        <v>267</v>
      </c>
      <c r="E680" s="52" t="s">
        <v>875</v>
      </c>
      <c r="F680" s="2"/>
      <c r="G680" s="36">
        <v>-5.45</v>
      </c>
      <c r="H680" s="2"/>
      <c r="I680" s="52" t="s">
        <v>269</v>
      </c>
      <c r="J680" s="2"/>
      <c r="K680" s="2"/>
    </row>
    <row r="681" ht="15.0" customHeight="1">
      <c r="A681" s="49">
        <v>45971.0</v>
      </c>
      <c r="B681" s="52" t="s">
        <v>164</v>
      </c>
      <c r="C681" s="52" t="s">
        <v>27</v>
      </c>
      <c r="D681" s="52" t="s">
        <v>273</v>
      </c>
      <c r="E681" s="52" t="s">
        <v>274</v>
      </c>
      <c r="F681" s="2"/>
      <c r="G681" s="36">
        <v>-33.7</v>
      </c>
      <c r="H681" s="2"/>
      <c r="I681" s="52" t="s">
        <v>272</v>
      </c>
      <c r="J681" s="2"/>
      <c r="K681" s="2"/>
    </row>
    <row r="682" ht="15.0" customHeight="1">
      <c r="A682" s="49">
        <v>45971.0</v>
      </c>
      <c r="B682" s="52" t="s">
        <v>166</v>
      </c>
      <c r="C682" s="52" t="s">
        <v>26</v>
      </c>
      <c r="D682" s="52" t="s">
        <v>270</v>
      </c>
      <c r="E682" s="52" t="s">
        <v>374</v>
      </c>
      <c r="F682" s="2"/>
      <c r="G682" s="36">
        <v>-94.26</v>
      </c>
      <c r="H682" s="2"/>
      <c r="I682" s="52" t="s">
        <v>272</v>
      </c>
      <c r="J682" s="2"/>
      <c r="K682" s="2"/>
    </row>
    <row r="683" ht="15.0" customHeight="1">
      <c r="A683" s="49">
        <v>45971.0</v>
      </c>
      <c r="B683" s="52" t="s">
        <v>753</v>
      </c>
      <c r="C683" s="52" t="s">
        <v>28</v>
      </c>
      <c r="D683" s="52" t="s">
        <v>270</v>
      </c>
      <c r="E683" s="52" t="s">
        <v>876</v>
      </c>
      <c r="F683" s="2"/>
      <c r="G683" s="36">
        <v>-29.48</v>
      </c>
      <c r="H683" s="2"/>
      <c r="I683" s="52" t="s">
        <v>272</v>
      </c>
      <c r="J683" s="2"/>
      <c r="K683" s="2"/>
    </row>
    <row r="684" ht="15.0" customHeight="1">
      <c r="A684" s="49">
        <v>45971.0</v>
      </c>
      <c r="B684" s="52" t="s">
        <v>477</v>
      </c>
      <c r="C684" s="52" t="s">
        <v>289</v>
      </c>
      <c r="D684" s="52" t="s">
        <v>296</v>
      </c>
      <c r="E684" s="52" t="s">
        <v>877</v>
      </c>
      <c r="F684" s="2"/>
      <c r="G684" s="36">
        <v>953.0</v>
      </c>
      <c r="H684" s="2"/>
      <c r="I684" s="52" t="s">
        <v>272</v>
      </c>
      <c r="J684" s="2"/>
      <c r="K684" s="2"/>
    </row>
    <row r="685" ht="15.0" customHeight="1">
      <c r="A685" s="49">
        <v>45970.0</v>
      </c>
      <c r="B685" s="52" t="s">
        <v>878</v>
      </c>
      <c r="C685" s="52" t="s">
        <v>387</v>
      </c>
      <c r="D685" s="52" t="s">
        <v>277</v>
      </c>
      <c r="E685" s="52" t="s">
        <v>879</v>
      </c>
      <c r="F685" s="2"/>
      <c r="G685" s="36">
        <v>-650.0</v>
      </c>
      <c r="H685" s="2"/>
      <c r="I685" s="52" t="s">
        <v>269</v>
      </c>
      <c r="J685" s="2"/>
      <c r="K685" s="2"/>
    </row>
    <row r="686" ht="15.0" customHeight="1">
      <c r="A686" s="49">
        <v>45970.0</v>
      </c>
      <c r="B686" s="52" t="s">
        <v>878</v>
      </c>
      <c r="C686" s="52" t="s">
        <v>387</v>
      </c>
      <c r="D686" s="52" t="s">
        <v>277</v>
      </c>
      <c r="E686" s="52" t="s">
        <v>879</v>
      </c>
      <c r="F686" s="2"/>
      <c r="G686" s="36">
        <v>-175.0</v>
      </c>
      <c r="H686" s="2"/>
      <c r="I686" s="52" t="s">
        <v>269</v>
      </c>
      <c r="J686" s="2"/>
      <c r="K686" s="2"/>
    </row>
    <row r="687" ht="15.0" customHeight="1">
      <c r="A687" s="49">
        <v>45970.0</v>
      </c>
      <c r="B687" s="52" t="s">
        <v>699</v>
      </c>
      <c r="C687" s="52" t="s">
        <v>281</v>
      </c>
      <c r="D687" s="52" t="s">
        <v>277</v>
      </c>
      <c r="E687" s="52" t="s">
        <v>700</v>
      </c>
      <c r="F687" s="2"/>
      <c r="G687" s="36">
        <v>-358.17</v>
      </c>
      <c r="H687" s="2"/>
      <c r="I687" s="52" t="s">
        <v>269</v>
      </c>
      <c r="J687" s="2"/>
      <c r="K687" s="2"/>
    </row>
    <row r="688" ht="15.0" customHeight="1">
      <c r="A688" s="49">
        <v>45970.0</v>
      </c>
      <c r="B688" s="52" t="s">
        <v>880</v>
      </c>
      <c r="C688" s="52" t="s">
        <v>675</v>
      </c>
      <c r="D688" s="52" t="s">
        <v>277</v>
      </c>
      <c r="E688" s="52" t="s">
        <v>881</v>
      </c>
      <c r="F688" s="2"/>
      <c r="G688" s="36">
        <v>423.96</v>
      </c>
      <c r="H688" s="2"/>
      <c r="I688" s="52" t="s">
        <v>269</v>
      </c>
      <c r="J688" s="2"/>
      <c r="K688" s="2"/>
    </row>
    <row r="689" ht="15.0" customHeight="1">
      <c r="A689" s="49">
        <v>45970.0</v>
      </c>
      <c r="B689" s="52" t="s">
        <v>164</v>
      </c>
      <c r="C689" s="52" t="s">
        <v>27</v>
      </c>
      <c r="D689" s="52" t="s">
        <v>277</v>
      </c>
      <c r="E689" s="52" t="s">
        <v>274</v>
      </c>
      <c r="F689" s="2"/>
      <c r="G689" s="36">
        <v>-15.2</v>
      </c>
      <c r="H689" s="2"/>
      <c r="I689" s="52" t="s">
        <v>269</v>
      </c>
      <c r="J689" s="2"/>
      <c r="K689" s="2"/>
    </row>
    <row r="690" ht="15.0" customHeight="1">
      <c r="A690" s="49">
        <v>45970.0</v>
      </c>
      <c r="B690" s="52" t="s">
        <v>491</v>
      </c>
      <c r="C690" s="52" t="s">
        <v>349</v>
      </c>
      <c r="D690" s="52" t="s">
        <v>270</v>
      </c>
      <c r="E690" s="52" t="s">
        <v>492</v>
      </c>
      <c r="F690" s="2"/>
      <c r="G690" s="36">
        <v>-182.53</v>
      </c>
      <c r="H690" s="2"/>
      <c r="I690" s="52" t="s">
        <v>272</v>
      </c>
      <c r="J690" s="2"/>
      <c r="K690" s="2"/>
    </row>
    <row r="691" ht="15.0" customHeight="1">
      <c r="A691" s="49">
        <v>45970.0</v>
      </c>
      <c r="B691" s="52" t="s">
        <v>649</v>
      </c>
      <c r="C691" s="52" t="s">
        <v>27</v>
      </c>
      <c r="D691" s="52" t="s">
        <v>270</v>
      </c>
      <c r="E691" s="52" t="s">
        <v>882</v>
      </c>
      <c r="F691" s="2"/>
      <c r="G691" s="36">
        <v>-755.0</v>
      </c>
      <c r="H691" s="2"/>
      <c r="I691" s="52" t="s">
        <v>272</v>
      </c>
      <c r="J691" s="2"/>
      <c r="K691" s="2"/>
    </row>
    <row r="692" ht="15.0" customHeight="1">
      <c r="A692" s="49">
        <v>45970.0</v>
      </c>
      <c r="B692" s="52" t="s">
        <v>531</v>
      </c>
      <c r="C692" s="52" t="s">
        <v>883</v>
      </c>
      <c r="D692" s="52" t="s">
        <v>270</v>
      </c>
      <c r="E692" s="52" t="s">
        <v>532</v>
      </c>
      <c r="F692" s="2"/>
      <c r="G692" s="36">
        <v>-44.94</v>
      </c>
      <c r="H692" s="2"/>
      <c r="I692" s="52" t="s">
        <v>272</v>
      </c>
      <c r="J692" s="2"/>
      <c r="K692" s="2"/>
    </row>
    <row r="693" ht="15.0" customHeight="1">
      <c r="A693" s="49">
        <v>45970.0</v>
      </c>
      <c r="B693" s="52" t="s">
        <v>531</v>
      </c>
      <c r="C693" s="52" t="s">
        <v>883</v>
      </c>
      <c r="D693" s="52" t="s">
        <v>270</v>
      </c>
      <c r="E693" s="52" t="s">
        <v>532</v>
      </c>
      <c r="F693" s="2"/>
      <c r="G693" s="36">
        <v>-10.48</v>
      </c>
      <c r="H693" s="2"/>
      <c r="I693" s="52" t="s">
        <v>272</v>
      </c>
      <c r="J693" s="2"/>
      <c r="K693" s="2"/>
    </row>
    <row r="694" ht="15.0" customHeight="1">
      <c r="A694" s="49">
        <v>45969.0</v>
      </c>
      <c r="B694" s="52" t="s">
        <v>276</v>
      </c>
      <c r="C694" s="52" t="s">
        <v>153</v>
      </c>
      <c r="D694" s="52" t="s">
        <v>277</v>
      </c>
      <c r="E694" s="52" t="s">
        <v>884</v>
      </c>
      <c r="F694" s="2"/>
      <c r="G694" s="36">
        <v>-3.79</v>
      </c>
      <c r="H694" s="2"/>
      <c r="I694" s="52" t="s">
        <v>269</v>
      </c>
      <c r="J694" s="2"/>
      <c r="K694" s="2"/>
    </row>
    <row r="695" ht="15.0" customHeight="1">
      <c r="A695" s="49">
        <v>45969.0</v>
      </c>
      <c r="B695" s="52" t="s">
        <v>315</v>
      </c>
      <c r="C695" s="52" t="s">
        <v>26</v>
      </c>
      <c r="D695" s="52" t="s">
        <v>277</v>
      </c>
      <c r="E695" s="52" t="s">
        <v>316</v>
      </c>
      <c r="F695" s="2"/>
      <c r="G695" s="36">
        <v>-30.8</v>
      </c>
      <c r="H695" s="2"/>
      <c r="I695" s="52" t="s">
        <v>269</v>
      </c>
      <c r="J695" s="2"/>
      <c r="K695" s="2"/>
    </row>
    <row r="696" ht="15.0" customHeight="1">
      <c r="A696" s="49">
        <v>45969.0</v>
      </c>
      <c r="B696" s="52" t="s">
        <v>283</v>
      </c>
      <c r="C696" s="52" t="s">
        <v>154</v>
      </c>
      <c r="D696" s="52" t="s">
        <v>277</v>
      </c>
      <c r="E696" s="52" t="s">
        <v>298</v>
      </c>
      <c r="F696" s="2"/>
      <c r="G696" s="36">
        <v>-22.06</v>
      </c>
      <c r="H696" s="2"/>
      <c r="I696" s="52" t="s">
        <v>269</v>
      </c>
      <c r="J696" s="2"/>
      <c r="K696" s="2"/>
    </row>
    <row r="697" ht="15.0" customHeight="1">
      <c r="A697" s="49">
        <v>45969.0</v>
      </c>
      <c r="B697" s="52" t="s">
        <v>885</v>
      </c>
      <c r="C697" s="52" t="s">
        <v>152</v>
      </c>
      <c r="D697" s="52" t="s">
        <v>270</v>
      </c>
      <c r="E697" s="52" t="s">
        <v>323</v>
      </c>
      <c r="F697" s="2"/>
      <c r="G697" s="36">
        <v>-13.03</v>
      </c>
      <c r="H697" s="2"/>
      <c r="I697" s="52" t="s">
        <v>272</v>
      </c>
      <c r="J697" s="2"/>
      <c r="K697" s="2"/>
    </row>
    <row r="698" ht="15.0" customHeight="1">
      <c r="A698" s="49">
        <v>45969.0</v>
      </c>
      <c r="B698" s="52" t="s">
        <v>886</v>
      </c>
      <c r="C698" s="52" t="s">
        <v>535</v>
      </c>
      <c r="D698" s="52" t="s">
        <v>353</v>
      </c>
      <c r="E698" s="52" t="s">
        <v>887</v>
      </c>
      <c r="F698" s="2"/>
      <c r="G698" s="36">
        <v>-765.0</v>
      </c>
      <c r="H698" s="2"/>
      <c r="I698" s="52" t="s">
        <v>272</v>
      </c>
      <c r="J698" s="2"/>
      <c r="K698" s="2"/>
    </row>
    <row r="699" ht="15.0" customHeight="1">
      <c r="A699" s="49">
        <v>45968.0</v>
      </c>
      <c r="B699" s="52" t="s">
        <v>164</v>
      </c>
      <c r="C699" s="52" t="s">
        <v>27</v>
      </c>
      <c r="D699" s="52" t="s">
        <v>277</v>
      </c>
      <c r="E699" s="52" t="s">
        <v>274</v>
      </c>
      <c r="F699" s="2"/>
      <c r="G699" s="36">
        <v>-9.79</v>
      </c>
      <c r="H699" s="2"/>
      <c r="I699" s="52" t="s">
        <v>269</v>
      </c>
      <c r="J699" s="2"/>
      <c r="K699" s="2"/>
    </row>
    <row r="700" ht="15.0" customHeight="1">
      <c r="A700" s="49">
        <v>45968.0</v>
      </c>
      <c r="B700" s="52" t="s">
        <v>164</v>
      </c>
      <c r="C700" s="52" t="s">
        <v>27</v>
      </c>
      <c r="D700" s="52" t="s">
        <v>277</v>
      </c>
      <c r="E700" s="52" t="s">
        <v>888</v>
      </c>
      <c r="F700" s="2"/>
      <c r="G700" s="36">
        <v>-11.99</v>
      </c>
      <c r="H700" s="2"/>
      <c r="I700" s="52" t="s">
        <v>269</v>
      </c>
      <c r="J700" s="2"/>
      <c r="K700" s="2"/>
    </row>
    <row r="701" ht="15.0" customHeight="1">
      <c r="A701" s="49">
        <v>45968.0</v>
      </c>
      <c r="B701" s="52" t="s">
        <v>542</v>
      </c>
      <c r="C701" s="52" t="s">
        <v>28</v>
      </c>
      <c r="D701" s="52" t="s">
        <v>267</v>
      </c>
      <c r="E701" s="52" t="s">
        <v>889</v>
      </c>
      <c r="F701" s="2"/>
      <c r="G701" s="36">
        <v>-16.37</v>
      </c>
      <c r="H701" s="2"/>
      <c r="I701" s="52" t="s">
        <v>269</v>
      </c>
      <c r="J701" s="2"/>
      <c r="K701" s="2"/>
    </row>
    <row r="702" ht="15.0" customHeight="1">
      <c r="A702" s="49">
        <v>45968.0</v>
      </c>
      <c r="B702" s="52" t="s">
        <v>411</v>
      </c>
      <c r="C702" s="52" t="s">
        <v>412</v>
      </c>
      <c r="D702" s="52" t="s">
        <v>267</v>
      </c>
      <c r="E702" s="52" t="s">
        <v>890</v>
      </c>
      <c r="F702" s="2"/>
      <c r="G702" s="36">
        <v>3817.56</v>
      </c>
      <c r="H702" s="2"/>
      <c r="I702" s="52" t="s">
        <v>269</v>
      </c>
      <c r="J702" s="2"/>
      <c r="K702" s="2"/>
    </row>
    <row r="703" ht="15.0" customHeight="1">
      <c r="A703" s="49">
        <v>45968.0</v>
      </c>
      <c r="B703" s="52" t="s">
        <v>166</v>
      </c>
      <c r="C703" s="52" t="s">
        <v>26</v>
      </c>
      <c r="D703" s="52" t="s">
        <v>270</v>
      </c>
      <c r="E703" s="52" t="s">
        <v>374</v>
      </c>
      <c r="F703" s="2"/>
      <c r="G703" s="36">
        <v>-83.64</v>
      </c>
      <c r="H703" s="2"/>
      <c r="I703" s="52" t="s">
        <v>272</v>
      </c>
      <c r="J703" s="2"/>
      <c r="K703" s="2"/>
    </row>
    <row r="704" ht="15.0" customHeight="1">
      <c r="A704" s="49">
        <v>45967.0</v>
      </c>
      <c r="B704" s="52" t="s">
        <v>165</v>
      </c>
      <c r="C704" s="52" t="s">
        <v>28</v>
      </c>
      <c r="D704" s="52" t="s">
        <v>277</v>
      </c>
      <c r="E704" s="52" t="s">
        <v>314</v>
      </c>
      <c r="F704" s="2"/>
      <c r="G704" s="36">
        <v>-36.51</v>
      </c>
      <c r="H704" s="2"/>
      <c r="I704" s="52" t="s">
        <v>269</v>
      </c>
      <c r="J704" s="2"/>
      <c r="K704" s="2"/>
    </row>
    <row r="705" ht="15.0" customHeight="1">
      <c r="A705" s="49">
        <v>45967.0</v>
      </c>
      <c r="B705" s="52" t="s">
        <v>891</v>
      </c>
      <c r="C705" s="52" t="s">
        <v>28</v>
      </c>
      <c r="D705" s="52" t="s">
        <v>277</v>
      </c>
      <c r="E705" s="52" t="s">
        <v>892</v>
      </c>
      <c r="F705" s="2"/>
      <c r="G705" s="36">
        <v>-115.46</v>
      </c>
      <c r="H705" s="2"/>
      <c r="I705" s="52" t="s">
        <v>269</v>
      </c>
      <c r="J705" s="2"/>
      <c r="K705" s="2"/>
    </row>
    <row r="706" ht="15.0" customHeight="1">
      <c r="A706" s="49">
        <v>45967.0</v>
      </c>
      <c r="B706" s="52" t="s">
        <v>164</v>
      </c>
      <c r="C706" s="52" t="s">
        <v>27</v>
      </c>
      <c r="D706" s="52" t="s">
        <v>277</v>
      </c>
      <c r="E706" s="52" t="s">
        <v>364</v>
      </c>
      <c r="F706" s="2"/>
      <c r="G706" s="36">
        <v>-53.49</v>
      </c>
      <c r="H706" s="2"/>
      <c r="I706" s="52" t="s">
        <v>269</v>
      </c>
      <c r="J706" s="2"/>
      <c r="K706" s="2"/>
    </row>
    <row r="707" ht="15.0" customHeight="1">
      <c r="A707" s="49">
        <v>45967.0</v>
      </c>
      <c r="B707" s="52" t="s">
        <v>333</v>
      </c>
      <c r="C707" s="52" t="s">
        <v>158</v>
      </c>
      <c r="D707" s="52" t="s">
        <v>267</v>
      </c>
      <c r="E707" s="52" t="s">
        <v>893</v>
      </c>
      <c r="F707" s="2"/>
      <c r="G707" s="36">
        <v>-75.0</v>
      </c>
      <c r="H707" s="2"/>
      <c r="I707" s="52" t="s">
        <v>269</v>
      </c>
      <c r="J707" s="2"/>
      <c r="K707" s="2"/>
    </row>
    <row r="708" ht="15.0" customHeight="1">
      <c r="A708" s="49">
        <v>45967.0</v>
      </c>
      <c r="B708" s="52" t="s">
        <v>164</v>
      </c>
      <c r="C708" s="52" t="s">
        <v>27</v>
      </c>
      <c r="D708" s="52" t="s">
        <v>273</v>
      </c>
      <c r="E708" s="52" t="s">
        <v>274</v>
      </c>
      <c r="F708" s="2"/>
      <c r="G708" s="36">
        <v>-19.59</v>
      </c>
      <c r="H708" s="2"/>
      <c r="I708" s="52" t="s">
        <v>272</v>
      </c>
      <c r="J708" s="2"/>
      <c r="K708" s="2"/>
    </row>
    <row r="709" ht="15.0" customHeight="1">
      <c r="A709" s="49">
        <v>45967.0</v>
      </c>
      <c r="B709" s="52" t="s">
        <v>164</v>
      </c>
      <c r="C709" s="52" t="s">
        <v>27</v>
      </c>
      <c r="D709" s="52" t="s">
        <v>273</v>
      </c>
      <c r="E709" s="52" t="s">
        <v>274</v>
      </c>
      <c r="F709" s="2"/>
      <c r="G709" s="36">
        <v>-10.88</v>
      </c>
      <c r="H709" s="2"/>
      <c r="I709" s="52" t="s">
        <v>272</v>
      </c>
      <c r="J709" s="2"/>
      <c r="K709" s="2"/>
    </row>
    <row r="710" ht="15.0" customHeight="1">
      <c r="A710" s="49">
        <v>45967.0</v>
      </c>
      <c r="B710" s="52" t="s">
        <v>894</v>
      </c>
      <c r="C710" s="52" t="s">
        <v>292</v>
      </c>
      <c r="D710" s="52" t="s">
        <v>270</v>
      </c>
      <c r="E710" s="52" t="s">
        <v>895</v>
      </c>
      <c r="F710" s="2"/>
      <c r="G710" s="36">
        <v>-58.8</v>
      </c>
      <c r="H710" s="2"/>
      <c r="I710" s="52" t="s">
        <v>272</v>
      </c>
      <c r="J710" s="2"/>
      <c r="K710" s="2"/>
    </row>
    <row r="711" ht="15.0" customHeight="1">
      <c r="A711" s="49">
        <v>45967.0</v>
      </c>
      <c r="B711" s="52" t="s">
        <v>640</v>
      </c>
      <c r="C711" s="52" t="s">
        <v>27</v>
      </c>
      <c r="D711" s="52" t="s">
        <v>270</v>
      </c>
      <c r="E711" s="52" t="s">
        <v>641</v>
      </c>
      <c r="F711" s="2"/>
      <c r="G711" s="36">
        <v>-140.92</v>
      </c>
      <c r="H711" s="2"/>
      <c r="I711" s="52" t="s">
        <v>272</v>
      </c>
      <c r="J711" s="2"/>
      <c r="K711" s="2"/>
    </row>
    <row r="712" ht="15.0" customHeight="1">
      <c r="A712" s="49">
        <v>45967.0</v>
      </c>
      <c r="B712" s="52" t="s">
        <v>896</v>
      </c>
      <c r="C712" s="52" t="s">
        <v>292</v>
      </c>
      <c r="D712" s="52" t="s">
        <v>270</v>
      </c>
      <c r="E712" s="52" t="s">
        <v>897</v>
      </c>
      <c r="F712" s="2"/>
      <c r="G712" s="36">
        <v>-56.0</v>
      </c>
      <c r="H712" s="2"/>
      <c r="I712" s="52" t="s">
        <v>272</v>
      </c>
      <c r="J712" s="2"/>
      <c r="K712" s="2"/>
    </row>
    <row r="713" ht="15.0" customHeight="1">
      <c r="A713" s="49">
        <v>45966.0</v>
      </c>
      <c r="B713" s="52" t="s">
        <v>447</v>
      </c>
      <c r="C713" s="52" t="s">
        <v>437</v>
      </c>
      <c r="D713" s="52" t="s">
        <v>277</v>
      </c>
      <c r="E713" s="52" t="s">
        <v>448</v>
      </c>
      <c r="F713" s="2"/>
      <c r="G713" s="36">
        <v>13412.32</v>
      </c>
      <c r="H713" s="2"/>
      <c r="I713" s="52" t="s">
        <v>269</v>
      </c>
      <c r="J713" s="2"/>
      <c r="K713" s="2"/>
    </row>
    <row r="714" ht="15.0" customHeight="1">
      <c r="A714" s="49">
        <v>45966.0</v>
      </c>
      <c r="B714" s="52" t="s">
        <v>898</v>
      </c>
      <c r="C714" s="52" t="s">
        <v>158</v>
      </c>
      <c r="D714" s="52" t="s">
        <v>277</v>
      </c>
      <c r="E714" s="52" t="s">
        <v>899</v>
      </c>
      <c r="F714" s="2"/>
      <c r="G714" s="36">
        <v>-50.0</v>
      </c>
      <c r="H714" s="2"/>
      <c r="I714" s="52" t="s">
        <v>269</v>
      </c>
      <c r="J714" s="2"/>
      <c r="K714" s="2"/>
    </row>
    <row r="715" ht="15.0" customHeight="1">
      <c r="A715" s="49">
        <v>45966.0</v>
      </c>
      <c r="B715" s="52" t="s">
        <v>301</v>
      </c>
      <c r="C715" s="52" t="s">
        <v>437</v>
      </c>
      <c r="D715" s="52" t="s">
        <v>267</v>
      </c>
      <c r="E715" s="52" t="s">
        <v>900</v>
      </c>
      <c r="F715" s="2"/>
      <c r="G715" s="36">
        <v>-13412.32</v>
      </c>
      <c r="H715" s="2"/>
      <c r="I715" s="52" t="s">
        <v>269</v>
      </c>
      <c r="J715" s="2"/>
      <c r="K715" s="2"/>
    </row>
    <row r="716" ht="15.0" customHeight="1">
      <c r="A716" s="49">
        <v>45966.0</v>
      </c>
      <c r="B716" s="52" t="s">
        <v>520</v>
      </c>
      <c r="C716" s="52" t="s">
        <v>901</v>
      </c>
      <c r="D716" s="52" t="s">
        <v>267</v>
      </c>
      <c r="E716" s="52" t="s">
        <v>902</v>
      </c>
      <c r="F716" s="2"/>
      <c r="G716" s="36">
        <v>-47.12</v>
      </c>
      <c r="H716" s="2"/>
      <c r="I716" s="52" t="s">
        <v>269</v>
      </c>
      <c r="J716" s="2"/>
      <c r="K716" s="2"/>
    </row>
    <row r="717" ht="15.0" customHeight="1">
      <c r="A717" s="49">
        <v>45966.0</v>
      </c>
      <c r="B717" s="52" t="s">
        <v>164</v>
      </c>
      <c r="C717" s="52" t="s">
        <v>27</v>
      </c>
      <c r="D717" s="52" t="s">
        <v>273</v>
      </c>
      <c r="E717" s="52" t="s">
        <v>364</v>
      </c>
      <c r="F717" s="2"/>
      <c r="G717" s="36">
        <v>-10.84</v>
      </c>
      <c r="H717" s="2"/>
      <c r="I717" s="52" t="s">
        <v>272</v>
      </c>
      <c r="J717" s="2"/>
      <c r="K717" s="2"/>
    </row>
    <row r="718" ht="15.0" customHeight="1">
      <c r="A718" s="49">
        <v>45966.0</v>
      </c>
      <c r="B718" s="52" t="s">
        <v>171</v>
      </c>
      <c r="C718" s="52" t="s">
        <v>26</v>
      </c>
      <c r="D718" s="52" t="s">
        <v>270</v>
      </c>
      <c r="E718" s="52" t="s">
        <v>439</v>
      </c>
      <c r="F718" s="2"/>
      <c r="G718" s="36">
        <v>-89.3</v>
      </c>
      <c r="H718" s="2"/>
      <c r="I718" s="52" t="s">
        <v>272</v>
      </c>
      <c r="J718" s="2"/>
      <c r="K718" s="2"/>
    </row>
    <row r="719" ht="15.0" customHeight="1">
      <c r="A719" s="49">
        <v>45965.0</v>
      </c>
      <c r="B719" s="52" t="s">
        <v>903</v>
      </c>
      <c r="C719" s="52" t="s">
        <v>281</v>
      </c>
      <c r="D719" s="52" t="s">
        <v>277</v>
      </c>
      <c r="E719" s="52" t="s">
        <v>904</v>
      </c>
      <c r="F719" s="2"/>
      <c r="G719" s="36">
        <v>-40.0</v>
      </c>
      <c r="H719" s="2"/>
      <c r="I719" s="52" t="s">
        <v>269</v>
      </c>
      <c r="J719" s="2"/>
      <c r="K719" s="2"/>
    </row>
    <row r="720" ht="15.0" customHeight="1">
      <c r="A720" s="49">
        <v>45965.0</v>
      </c>
      <c r="B720" s="52" t="s">
        <v>164</v>
      </c>
      <c r="C720" s="52" t="s">
        <v>27</v>
      </c>
      <c r="D720" s="52" t="s">
        <v>277</v>
      </c>
      <c r="E720" s="52" t="s">
        <v>364</v>
      </c>
      <c r="F720" s="2"/>
      <c r="G720" s="36">
        <v>-43.55</v>
      </c>
      <c r="H720" s="2"/>
      <c r="I720" s="52" t="s">
        <v>269</v>
      </c>
      <c r="J720" s="2"/>
      <c r="K720" s="2"/>
    </row>
    <row r="721" ht="15.0" customHeight="1">
      <c r="A721" s="49">
        <v>45965.0</v>
      </c>
      <c r="B721" s="52" t="s">
        <v>517</v>
      </c>
      <c r="C721" s="52" t="s">
        <v>518</v>
      </c>
      <c r="D721" s="52" t="s">
        <v>267</v>
      </c>
      <c r="E721" s="52" t="s">
        <v>905</v>
      </c>
      <c r="F721" s="2"/>
      <c r="G721" s="36">
        <v>-2693.28</v>
      </c>
      <c r="H721" s="2"/>
      <c r="I721" s="52" t="s">
        <v>269</v>
      </c>
      <c r="J721" s="2"/>
      <c r="K721" s="2"/>
    </row>
    <row r="722" ht="15.0" customHeight="1">
      <c r="A722" s="49">
        <v>45965.0</v>
      </c>
      <c r="B722" s="52" t="s">
        <v>85</v>
      </c>
      <c r="C722" s="52" t="s">
        <v>127</v>
      </c>
      <c r="D722" s="52" t="s">
        <v>267</v>
      </c>
      <c r="E722" s="52" t="s">
        <v>906</v>
      </c>
      <c r="F722" s="2"/>
      <c r="G722" s="36">
        <v>-1024.11</v>
      </c>
      <c r="H722" s="2"/>
      <c r="I722" s="52" t="s">
        <v>269</v>
      </c>
      <c r="J722" s="2"/>
      <c r="K722" s="2"/>
    </row>
    <row r="723" ht="15.0" customHeight="1">
      <c r="A723" s="49">
        <v>45965.0</v>
      </c>
      <c r="B723" s="52" t="s">
        <v>522</v>
      </c>
      <c r="C723" s="52" t="s">
        <v>370</v>
      </c>
      <c r="D723" s="52" t="s">
        <v>267</v>
      </c>
      <c r="E723" s="52" t="s">
        <v>907</v>
      </c>
      <c r="F723" s="2"/>
      <c r="G723" s="36">
        <v>-5.0</v>
      </c>
      <c r="H723" s="2"/>
      <c r="I723" s="52" t="s">
        <v>269</v>
      </c>
      <c r="J723" s="2"/>
      <c r="K723" s="2"/>
    </row>
    <row r="724" ht="15.0" customHeight="1">
      <c r="A724" s="49">
        <v>45965.0</v>
      </c>
      <c r="B724" s="52" t="s">
        <v>344</v>
      </c>
      <c r="C724" s="52" t="s">
        <v>153</v>
      </c>
      <c r="D724" s="52" t="s">
        <v>267</v>
      </c>
      <c r="E724" s="52" t="s">
        <v>908</v>
      </c>
      <c r="F724" s="2"/>
      <c r="G724" s="36">
        <v>-9.99</v>
      </c>
      <c r="H724" s="2"/>
      <c r="I724" s="52" t="s">
        <v>269</v>
      </c>
      <c r="J724" s="2"/>
      <c r="K724" s="2"/>
    </row>
    <row r="725" ht="15.0" customHeight="1">
      <c r="A725" s="49">
        <v>45965.0</v>
      </c>
      <c r="B725" s="52" t="s">
        <v>909</v>
      </c>
      <c r="C725" s="52" t="s">
        <v>153</v>
      </c>
      <c r="D725" s="52" t="s">
        <v>270</v>
      </c>
      <c r="E725" s="52" t="s">
        <v>910</v>
      </c>
      <c r="F725" s="2"/>
      <c r="G725" s="36">
        <v>-79.48</v>
      </c>
      <c r="H725" s="2"/>
      <c r="I725" s="52" t="s">
        <v>272</v>
      </c>
      <c r="J725" s="2"/>
      <c r="K725" s="2"/>
    </row>
    <row r="726" ht="15.0" customHeight="1">
      <c r="A726" s="49">
        <v>45965.0</v>
      </c>
      <c r="B726" s="52" t="s">
        <v>335</v>
      </c>
      <c r="C726" s="52" t="s">
        <v>152</v>
      </c>
      <c r="D726" s="52" t="s">
        <v>270</v>
      </c>
      <c r="E726" s="52" t="s">
        <v>911</v>
      </c>
      <c r="F726" s="2"/>
      <c r="G726" s="36">
        <v>-33.96</v>
      </c>
      <c r="H726" s="2"/>
      <c r="I726" s="52" t="s">
        <v>272</v>
      </c>
      <c r="J726" s="2"/>
      <c r="K726" s="2"/>
    </row>
    <row r="727" ht="15.0" customHeight="1">
      <c r="A727" s="49">
        <v>45965.0</v>
      </c>
      <c r="B727" s="52" t="s">
        <v>276</v>
      </c>
      <c r="C727" s="52" t="s">
        <v>153</v>
      </c>
      <c r="D727" s="52" t="s">
        <v>270</v>
      </c>
      <c r="E727" s="52" t="s">
        <v>278</v>
      </c>
      <c r="F727" s="2"/>
      <c r="G727" s="36">
        <v>-9.99</v>
      </c>
      <c r="H727" s="2"/>
      <c r="I727" s="52" t="s">
        <v>272</v>
      </c>
      <c r="J727" s="2"/>
      <c r="K727" s="2"/>
    </row>
    <row r="728" ht="15.0" customHeight="1">
      <c r="A728" s="49">
        <v>45965.0</v>
      </c>
      <c r="B728" s="52" t="s">
        <v>186</v>
      </c>
      <c r="C728" s="52" t="s">
        <v>289</v>
      </c>
      <c r="D728" s="52" t="s">
        <v>296</v>
      </c>
      <c r="E728" s="52" t="s">
        <v>912</v>
      </c>
      <c r="F728" s="2"/>
      <c r="G728" s="36">
        <v>-5.0</v>
      </c>
      <c r="H728" s="2"/>
      <c r="I728" s="52" t="s">
        <v>272</v>
      </c>
      <c r="J728" s="2"/>
      <c r="K728" s="2"/>
    </row>
    <row r="729" ht="15.0" customHeight="1">
      <c r="A729" s="49">
        <v>45965.0</v>
      </c>
      <c r="B729" s="52" t="s">
        <v>913</v>
      </c>
      <c r="C729" s="52" t="s">
        <v>27</v>
      </c>
      <c r="D729" s="52" t="s">
        <v>296</v>
      </c>
      <c r="E729" s="52" t="s">
        <v>914</v>
      </c>
      <c r="F729" s="2"/>
      <c r="G729" s="36">
        <v>-104.93</v>
      </c>
      <c r="H729" s="2"/>
      <c r="I729" s="52" t="s">
        <v>272</v>
      </c>
      <c r="J729" s="2"/>
      <c r="K729" s="2"/>
    </row>
    <row r="730" ht="15.0" customHeight="1">
      <c r="A730" s="49">
        <v>45964.0</v>
      </c>
      <c r="B730" s="52" t="s">
        <v>315</v>
      </c>
      <c r="C730" s="52" t="s">
        <v>26</v>
      </c>
      <c r="D730" s="52" t="s">
        <v>277</v>
      </c>
      <c r="E730" s="52" t="s">
        <v>316</v>
      </c>
      <c r="F730" s="2"/>
      <c r="G730" s="36">
        <v>-47.52</v>
      </c>
      <c r="H730" s="2"/>
      <c r="I730" s="52" t="s">
        <v>269</v>
      </c>
      <c r="J730" s="2"/>
      <c r="K730" s="2"/>
    </row>
    <row r="731" ht="15.0" customHeight="1">
      <c r="A731" s="49">
        <v>45964.0</v>
      </c>
      <c r="B731" s="52" t="s">
        <v>171</v>
      </c>
      <c r="C731" s="52" t="s">
        <v>26</v>
      </c>
      <c r="D731" s="52" t="s">
        <v>277</v>
      </c>
      <c r="E731" s="52" t="s">
        <v>439</v>
      </c>
      <c r="F731" s="2"/>
      <c r="G731" s="36">
        <v>-120.85</v>
      </c>
      <c r="H731" s="2"/>
      <c r="I731" s="52" t="s">
        <v>269</v>
      </c>
      <c r="J731" s="2"/>
      <c r="K731" s="2"/>
    </row>
    <row r="732" ht="15.0" customHeight="1">
      <c r="A732" s="49">
        <v>45964.0</v>
      </c>
      <c r="B732" s="52" t="s">
        <v>164</v>
      </c>
      <c r="C732" s="52" t="s">
        <v>27</v>
      </c>
      <c r="D732" s="52" t="s">
        <v>277</v>
      </c>
      <c r="E732" s="52" t="s">
        <v>274</v>
      </c>
      <c r="F732" s="2"/>
      <c r="G732" s="36">
        <v>-38.05</v>
      </c>
      <c r="H732" s="2"/>
      <c r="I732" s="52" t="s">
        <v>269</v>
      </c>
      <c r="J732" s="2"/>
      <c r="K732" s="2"/>
    </row>
    <row r="733" ht="15.0" customHeight="1">
      <c r="A733" s="49">
        <v>45964.0</v>
      </c>
      <c r="B733" s="52" t="s">
        <v>525</v>
      </c>
      <c r="C733" s="52" t="s">
        <v>27</v>
      </c>
      <c r="D733" s="52" t="s">
        <v>267</v>
      </c>
      <c r="E733" s="52" t="s">
        <v>915</v>
      </c>
      <c r="F733" s="2"/>
      <c r="G733" s="36">
        <v>-8.7</v>
      </c>
      <c r="H733" s="2"/>
      <c r="I733" s="52" t="s">
        <v>269</v>
      </c>
      <c r="J733" s="2"/>
      <c r="K733" s="2"/>
    </row>
    <row r="734" ht="15.0" customHeight="1">
      <c r="A734" s="49">
        <v>45964.0</v>
      </c>
      <c r="B734" s="52" t="s">
        <v>797</v>
      </c>
      <c r="C734" s="52" t="s">
        <v>27</v>
      </c>
      <c r="D734" s="52" t="s">
        <v>267</v>
      </c>
      <c r="E734" s="52" t="s">
        <v>916</v>
      </c>
      <c r="F734" s="2"/>
      <c r="G734" s="36">
        <v>-19.03</v>
      </c>
      <c r="H734" s="2"/>
      <c r="I734" s="52" t="s">
        <v>269</v>
      </c>
      <c r="J734" s="2"/>
      <c r="K734" s="2"/>
    </row>
    <row r="735" ht="15.0" customHeight="1">
      <c r="A735" s="49">
        <v>45964.0</v>
      </c>
      <c r="B735" s="52" t="s">
        <v>91</v>
      </c>
      <c r="C735" s="52" t="s">
        <v>27</v>
      </c>
      <c r="D735" s="52" t="s">
        <v>267</v>
      </c>
      <c r="E735" s="52" t="s">
        <v>917</v>
      </c>
      <c r="F735" s="2"/>
      <c r="G735" s="36">
        <v>-163.68</v>
      </c>
      <c r="H735" s="2"/>
      <c r="I735" s="52" t="s">
        <v>269</v>
      </c>
      <c r="J735" s="2"/>
      <c r="K735" s="2"/>
    </row>
    <row r="736" ht="15.0" customHeight="1">
      <c r="A736" s="49">
        <v>45964.0</v>
      </c>
      <c r="B736" s="52" t="s">
        <v>91</v>
      </c>
      <c r="C736" s="52" t="s">
        <v>27</v>
      </c>
      <c r="D736" s="52" t="s">
        <v>267</v>
      </c>
      <c r="E736" s="52" t="s">
        <v>917</v>
      </c>
      <c r="F736" s="2"/>
      <c r="G736" s="36">
        <v>-54.19</v>
      </c>
      <c r="H736" s="2"/>
      <c r="I736" s="52" t="s">
        <v>269</v>
      </c>
      <c r="J736" s="2"/>
      <c r="K736" s="2"/>
    </row>
    <row r="737" ht="15.0" customHeight="1">
      <c r="A737" s="49">
        <v>45964.0</v>
      </c>
      <c r="B737" s="52" t="s">
        <v>91</v>
      </c>
      <c r="C737" s="52" t="s">
        <v>27</v>
      </c>
      <c r="D737" s="52" t="s">
        <v>267</v>
      </c>
      <c r="E737" s="52" t="s">
        <v>917</v>
      </c>
      <c r="F737" s="2"/>
      <c r="G737" s="36">
        <v>-17.35</v>
      </c>
      <c r="H737" s="2"/>
      <c r="I737" s="52" t="s">
        <v>269</v>
      </c>
      <c r="J737" s="2"/>
      <c r="K737" s="2"/>
    </row>
    <row r="738" ht="15.0" customHeight="1">
      <c r="A738" s="49">
        <v>45964.0</v>
      </c>
      <c r="B738" s="52" t="s">
        <v>91</v>
      </c>
      <c r="C738" s="52" t="s">
        <v>27</v>
      </c>
      <c r="D738" s="52" t="s">
        <v>267</v>
      </c>
      <c r="E738" s="52" t="s">
        <v>918</v>
      </c>
      <c r="F738" s="2"/>
      <c r="G738" s="36">
        <v>-58.81</v>
      </c>
      <c r="H738" s="2"/>
      <c r="I738" s="52" t="s">
        <v>269</v>
      </c>
      <c r="J738" s="2"/>
      <c r="K738" s="2"/>
    </row>
    <row r="739" ht="15.0" customHeight="1">
      <c r="A739" s="49">
        <v>45964.0</v>
      </c>
      <c r="B739" s="52" t="s">
        <v>91</v>
      </c>
      <c r="C739" s="52" t="s">
        <v>27</v>
      </c>
      <c r="D739" s="52" t="s">
        <v>267</v>
      </c>
      <c r="E739" s="52" t="s">
        <v>919</v>
      </c>
      <c r="F739" s="2"/>
      <c r="G739" s="36">
        <v>-26.64</v>
      </c>
      <c r="H739" s="2"/>
      <c r="I739" s="52" t="s">
        <v>269</v>
      </c>
      <c r="J739" s="2"/>
      <c r="K739" s="2"/>
    </row>
    <row r="740" ht="15.0" customHeight="1">
      <c r="A740" s="49">
        <v>45964.0</v>
      </c>
      <c r="B740" s="52" t="s">
        <v>425</v>
      </c>
      <c r="C740" s="52" t="s">
        <v>469</v>
      </c>
      <c r="D740" s="52" t="s">
        <v>267</v>
      </c>
      <c r="E740" s="52" t="s">
        <v>920</v>
      </c>
      <c r="F740" s="2"/>
      <c r="G740" s="36">
        <v>-119.0</v>
      </c>
      <c r="H740" s="2"/>
      <c r="I740" s="52" t="s">
        <v>269</v>
      </c>
      <c r="J740" s="2"/>
      <c r="K740" s="2"/>
    </row>
    <row r="741" ht="15.0" customHeight="1">
      <c r="A741" s="49">
        <v>45964.0</v>
      </c>
      <c r="B741" s="52" t="s">
        <v>479</v>
      </c>
      <c r="C741" s="52" t="s">
        <v>370</v>
      </c>
      <c r="D741" s="52" t="s">
        <v>267</v>
      </c>
      <c r="E741" s="52" t="s">
        <v>921</v>
      </c>
      <c r="F741" s="2"/>
      <c r="G741" s="36">
        <v>-35.03</v>
      </c>
      <c r="H741" s="2"/>
      <c r="I741" s="52" t="s">
        <v>269</v>
      </c>
      <c r="J741" s="2"/>
      <c r="K741" s="2"/>
    </row>
    <row r="742" ht="15.0" customHeight="1">
      <c r="A742" s="49">
        <v>45964.0</v>
      </c>
      <c r="B742" s="52" t="s">
        <v>164</v>
      </c>
      <c r="C742" s="52" t="s">
        <v>27</v>
      </c>
      <c r="D742" s="52" t="s">
        <v>273</v>
      </c>
      <c r="E742" s="52" t="s">
        <v>274</v>
      </c>
      <c r="F742" s="2"/>
      <c r="G742" s="36">
        <v>-21.62</v>
      </c>
      <c r="H742" s="2"/>
      <c r="I742" s="52" t="s">
        <v>272</v>
      </c>
      <c r="J742" s="2"/>
      <c r="K742" s="2"/>
    </row>
    <row r="743" ht="15.0" customHeight="1">
      <c r="A743" s="49">
        <v>45964.0</v>
      </c>
      <c r="B743" s="52" t="s">
        <v>166</v>
      </c>
      <c r="C743" s="52" t="s">
        <v>26</v>
      </c>
      <c r="D743" s="52" t="s">
        <v>270</v>
      </c>
      <c r="E743" s="52" t="s">
        <v>374</v>
      </c>
      <c r="F743" s="2"/>
      <c r="G743" s="36">
        <v>-162.9</v>
      </c>
      <c r="H743" s="2"/>
      <c r="I743" s="52" t="s">
        <v>272</v>
      </c>
      <c r="J743" s="2"/>
      <c r="K743" s="2"/>
    </row>
    <row r="744" ht="15.0" customHeight="1">
      <c r="A744" s="49">
        <v>45964.0</v>
      </c>
      <c r="B744" s="52" t="s">
        <v>166</v>
      </c>
      <c r="C744" s="52" t="s">
        <v>26</v>
      </c>
      <c r="D744" s="52" t="s">
        <v>270</v>
      </c>
      <c r="E744" s="52" t="s">
        <v>374</v>
      </c>
      <c r="F744" s="2"/>
      <c r="G744" s="36">
        <v>-6.81</v>
      </c>
      <c r="H744" s="2"/>
      <c r="I744" s="52" t="s">
        <v>272</v>
      </c>
      <c r="J744" s="2"/>
      <c r="K744" s="2"/>
    </row>
    <row r="745" ht="15.0" customHeight="1">
      <c r="A745" s="49">
        <v>45963.0</v>
      </c>
      <c r="B745" s="52" t="s">
        <v>812</v>
      </c>
      <c r="C745" s="52" t="s">
        <v>675</v>
      </c>
      <c r="D745" s="52" t="s">
        <v>277</v>
      </c>
      <c r="E745" s="52" t="s">
        <v>813</v>
      </c>
      <c r="F745" s="2"/>
      <c r="G745" s="36">
        <v>-600.21</v>
      </c>
      <c r="H745" s="2"/>
      <c r="I745" s="52" t="s">
        <v>269</v>
      </c>
      <c r="J745" s="2"/>
      <c r="K745" s="2"/>
    </row>
    <row r="746" ht="15.0" customHeight="1">
      <c r="A746" s="49">
        <v>45963.0</v>
      </c>
      <c r="B746" s="52" t="s">
        <v>922</v>
      </c>
      <c r="C746" s="52" t="s">
        <v>152</v>
      </c>
      <c r="D746" s="52" t="s">
        <v>277</v>
      </c>
      <c r="E746" s="52" t="s">
        <v>923</v>
      </c>
      <c r="F746" s="2"/>
      <c r="G746" s="36">
        <v>-3.12</v>
      </c>
      <c r="H746" s="2"/>
      <c r="I746" s="52" t="s">
        <v>269</v>
      </c>
      <c r="J746" s="2"/>
      <c r="K746" s="2"/>
    </row>
    <row r="747" ht="15.0" customHeight="1">
      <c r="A747" s="49">
        <v>45963.0</v>
      </c>
      <c r="B747" s="52" t="s">
        <v>924</v>
      </c>
      <c r="C747" s="52" t="s">
        <v>26</v>
      </c>
      <c r="D747" s="52" t="s">
        <v>277</v>
      </c>
      <c r="E747" s="52" t="s">
        <v>925</v>
      </c>
      <c r="F747" s="2"/>
      <c r="G747" s="36">
        <v>-23.62</v>
      </c>
      <c r="H747" s="2"/>
      <c r="I747" s="52" t="s">
        <v>269</v>
      </c>
      <c r="J747" s="2"/>
      <c r="K747" s="2"/>
    </row>
    <row r="748" ht="15.0" customHeight="1">
      <c r="A748" s="49">
        <v>45963.0</v>
      </c>
      <c r="B748" s="52" t="s">
        <v>924</v>
      </c>
      <c r="C748" s="52" t="s">
        <v>27</v>
      </c>
      <c r="D748" s="52" t="s">
        <v>277</v>
      </c>
      <c r="E748" s="52" t="s">
        <v>925</v>
      </c>
      <c r="F748" s="2"/>
      <c r="G748" s="36">
        <v>-3.22</v>
      </c>
      <c r="H748" s="2"/>
      <c r="I748" s="52" t="s">
        <v>269</v>
      </c>
      <c r="J748" s="2"/>
      <c r="K748" s="2"/>
    </row>
    <row r="749" ht="15.0" customHeight="1">
      <c r="A749" s="49">
        <v>45963.0</v>
      </c>
      <c r="B749" s="52" t="s">
        <v>926</v>
      </c>
      <c r="C749" s="52" t="s">
        <v>27</v>
      </c>
      <c r="D749" s="52" t="s">
        <v>277</v>
      </c>
      <c r="E749" s="52" t="s">
        <v>927</v>
      </c>
      <c r="F749" s="2"/>
      <c r="G749" s="36">
        <v>-8.64</v>
      </c>
      <c r="H749" s="2"/>
      <c r="I749" s="52" t="s">
        <v>269</v>
      </c>
      <c r="J749" s="2"/>
      <c r="K749" s="2"/>
    </row>
    <row r="750" ht="15.0" customHeight="1">
      <c r="A750" s="49">
        <v>45963.0</v>
      </c>
      <c r="B750" s="52" t="s">
        <v>634</v>
      </c>
      <c r="C750" s="52" t="s">
        <v>152</v>
      </c>
      <c r="D750" s="52" t="s">
        <v>277</v>
      </c>
      <c r="E750" s="52" t="s">
        <v>928</v>
      </c>
      <c r="F750" s="2"/>
      <c r="G750" s="36">
        <v>-44.65</v>
      </c>
      <c r="H750" s="2"/>
      <c r="I750" s="52" t="s">
        <v>269</v>
      </c>
      <c r="J750" s="2"/>
      <c r="K750" s="2"/>
    </row>
    <row r="751" ht="15.0" customHeight="1">
      <c r="A751" s="49">
        <v>45963.0</v>
      </c>
      <c r="B751" s="52" t="s">
        <v>634</v>
      </c>
      <c r="C751" s="52" t="s">
        <v>152</v>
      </c>
      <c r="D751" s="52" t="s">
        <v>277</v>
      </c>
      <c r="E751" s="52" t="s">
        <v>928</v>
      </c>
      <c r="F751" s="2"/>
      <c r="G751" s="36">
        <v>-12.08</v>
      </c>
      <c r="H751" s="2"/>
      <c r="I751" s="52" t="s">
        <v>269</v>
      </c>
      <c r="J751" s="2"/>
      <c r="K751" s="2"/>
    </row>
    <row r="752" ht="15.0" customHeight="1">
      <c r="A752" s="49">
        <v>45963.0</v>
      </c>
      <c r="B752" s="52" t="s">
        <v>929</v>
      </c>
      <c r="C752" s="52" t="s">
        <v>162</v>
      </c>
      <c r="D752" s="52" t="s">
        <v>270</v>
      </c>
      <c r="E752" s="52" t="s">
        <v>930</v>
      </c>
      <c r="F752" s="2"/>
      <c r="G752" s="36">
        <v>-2.0</v>
      </c>
      <c r="H752" s="2"/>
      <c r="I752" s="52" t="s">
        <v>272</v>
      </c>
      <c r="J752" s="2"/>
      <c r="K752" s="2"/>
    </row>
    <row r="753" ht="15.0" customHeight="1">
      <c r="A753" s="49">
        <v>45963.0</v>
      </c>
      <c r="B753" s="52" t="s">
        <v>931</v>
      </c>
      <c r="C753" s="52" t="s">
        <v>675</v>
      </c>
      <c r="D753" s="52" t="s">
        <v>270</v>
      </c>
      <c r="E753" s="52" t="s">
        <v>932</v>
      </c>
      <c r="F753" s="2"/>
      <c r="G753" s="36">
        <v>-270.0</v>
      </c>
      <c r="H753" s="2"/>
      <c r="I753" s="52" t="s">
        <v>272</v>
      </c>
      <c r="J753" s="2"/>
      <c r="K753" s="2"/>
    </row>
    <row r="754" ht="15.0" customHeight="1">
      <c r="A754" s="49">
        <v>45963.0</v>
      </c>
      <c r="B754" s="52" t="s">
        <v>922</v>
      </c>
      <c r="C754" s="52" t="s">
        <v>152</v>
      </c>
      <c r="D754" s="52" t="s">
        <v>270</v>
      </c>
      <c r="E754" s="52" t="s">
        <v>923</v>
      </c>
      <c r="F754" s="2"/>
      <c r="G754" s="36">
        <v>-9.12</v>
      </c>
      <c r="H754" s="2"/>
      <c r="I754" s="52" t="s">
        <v>272</v>
      </c>
      <c r="J754" s="2"/>
      <c r="K754" s="2"/>
    </row>
    <row r="755" ht="15.0" customHeight="1">
      <c r="A755" s="49">
        <v>45963.0</v>
      </c>
      <c r="B755" s="52" t="s">
        <v>553</v>
      </c>
      <c r="C755" s="52" t="s">
        <v>455</v>
      </c>
      <c r="D755" s="52" t="s">
        <v>270</v>
      </c>
      <c r="E755" s="52" t="s">
        <v>554</v>
      </c>
      <c r="F755" s="2"/>
      <c r="G755" s="36">
        <v>-9.99</v>
      </c>
      <c r="H755" s="2"/>
      <c r="I755" s="52" t="s">
        <v>272</v>
      </c>
      <c r="J755" s="2"/>
      <c r="K755" s="2"/>
    </row>
    <row r="756" ht="15.0" customHeight="1">
      <c r="A756" s="49">
        <v>45963.0</v>
      </c>
      <c r="B756" s="52" t="s">
        <v>933</v>
      </c>
      <c r="C756" s="52" t="s">
        <v>154</v>
      </c>
      <c r="D756" s="52" t="s">
        <v>270</v>
      </c>
      <c r="E756" s="52" t="s">
        <v>934</v>
      </c>
      <c r="F756" s="2"/>
      <c r="G756" s="36">
        <v>-165.85</v>
      </c>
      <c r="H756" s="2"/>
      <c r="I756" s="52" t="s">
        <v>272</v>
      </c>
      <c r="J756" s="2"/>
      <c r="K756" s="2"/>
    </row>
    <row r="757" ht="15.0" customHeight="1">
      <c r="A757" s="49">
        <v>45963.0</v>
      </c>
      <c r="B757" s="52" t="s">
        <v>547</v>
      </c>
      <c r="C757" s="52" t="s">
        <v>153</v>
      </c>
      <c r="D757" s="52" t="s">
        <v>296</v>
      </c>
      <c r="E757" s="52" t="s">
        <v>548</v>
      </c>
      <c r="F757" s="2"/>
      <c r="G757" s="36">
        <v>-24.99</v>
      </c>
      <c r="H757" s="2"/>
      <c r="I757" s="52" t="s">
        <v>272</v>
      </c>
      <c r="J757" s="2"/>
      <c r="K757" s="2"/>
    </row>
    <row r="758" ht="15.0" customHeight="1">
      <c r="A758" s="49">
        <v>45962.0</v>
      </c>
      <c r="B758" s="52" t="s">
        <v>164</v>
      </c>
      <c r="C758" s="52" t="s">
        <v>27</v>
      </c>
      <c r="D758" s="52" t="s">
        <v>277</v>
      </c>
      <c r="E758" s="52" t="s">
        <v>364</v>
      </c>
      <c r="F758" s="2"/>
      <c r="G758" s="36">
        <v>-22.72</v>
      </c>
      <c r="H758" s="2"/>
      <c r="I758" s="52" t="s">
        <v>269</v>
      </c>
      <c r="J758" s="2"/>
      <c r="K758" s="2"/>
    </row>
    <row r="759" ht="15.0" customHeight="1">
      <c r="A759" s="49">
        <v>45962.0</v>
      </c>
      <c r="B759" s="52" t="s">
        <v>164</v>
      </c>
      <c r="C759" s="52" t="s">
        <v>27</v>
      </c>
      <c r="D759" s="52" t="s">
        <v>277</v>
      </c>
      <c r="E759" s="52" t="s">
        <v>364</v>
      </c>
      <c r="F759" s="2"/>
      <c r="G759" s="36">
        <v>-14.12</v>
      </c>
      <c r="H759" s="2"/>
      <c r="I759" s="52" t="s">
        <v>269</v>
      </c>
      <c r="J759" s="2"/>
      <c r="K759" s="2"/>
    </row>
    <row r="760" ht="15.0" customHeight="1">
      <c r="A760" s="49">
        <v>45962.0</v>
      </c>
      <c r="B760" s="52" t="s">
        <v>164</v>
      </c>
      <c r="C760" s="52" t="s">
        <v>27</v>
      </c>
      <c r="D760" s="52" t="s">
        <v>277</v>
      </c>
      <c r="E760" s="52" t="s">
        <v>274</v>
      </c>
      <c r="F760" s="2"/>
      <c r="G760" s="36">
        <v>-17.41</v>
      </c>
      <c r="H760" s="2"/>
      <c r="I760" s="52" t="s">
        <v>269</v>
      </c>
      <c r="J760" s="2"/>
      <c r="K760" s="2"/>
    </row>
    <row r="761" ht="15.0" customHeight="1">
      <c r="A761" s="49">
        <v>45962.0</v>
      </c>
      <c r="B761" s="52" t="s">
        <v>929</v>
      </c>
      <c r="C761" s="52" t="s">
        <v>162</v>
      </c>
      <c r="D761" s="52" t="s">
        <v>270</v>
      </c>
      <c r="E761" s="52" t="s">
        <v>930</v>
      </c>
      <c r="F761" s="2"/>
      <c r="G761" s="36">
        <v>-2.0</v>
      </c>
      <c r="H761" s="2"/>
      <c r="I761" s="52" t="s">
        <v>272</v>
      </c>
      <c r="J761" s="2"/>
      <c r="K761" s="2"/>
    </row>
    <row r="762" ht="15.0" customHeight="1">
      <c r="A762" s="49">
        <v>45962.0</v>
      </c>
      <c r="B762" s="52" t="s">
        <v>935</v>
      </c>
      <c r="C762" s="52" t="s">
        <v>28</v>
      </c>
      <c r="D762" s="52" t="s">
        <v>270</v>
      </c>
      <c r="E762" s="52" t="s">
        <v>936</v>
      </c>
      <c r="F762" s="2"/>
      <c r="G762" s="36">
        <v>-140.0</v>
      </c>
      <c r="H762" s="2"/>
      <c r="I762" s="52" t="s">
        <v>272</v>
      </c>
      <c r="J762" s="2"/>
      <c r="K762" s="2"/>
    </row>
    <row r="763" ht="15.0" customHeight="1">
      <c r="A763" s="49">
        <v>45962.0</v>
      </c>
      <c r="B763" s="52" t="s">
        <v>935</v>
      </c>
      <c r="C763" s="52" t="s">
        <v>28</v>
      </c>
      <c r="D763" s="52" t="s">
        <v>270</v>
      </c>
      <c r="E763" s="52" t="s">
        <v>936</v>
      </c>
      <c r="F763" s="2"/>
      <c r="G763" s="36">
        <v>-16.0</v>
      </c>
      <c r="H763" s="2"/>
      <c r="I763" s="52" t="s">
        <v>272</v>
      </c>
      <c r="J763" s="2"/>
      <c r="K763" s="2"/>
    </row>
    <row r="764" ht="15.0" customHeight="1">
      <c r="A764" s="49">
        <v>45962.0</v>
      </c>
      <c r="B764" s="52" t="s">
        <v>937</v>
      </c>
      <c r="C764" s="52" t="s">
        <v>28</v>
      </c>
      <c r="D764" s="52" t="s">
        <v>270</v>
      </c>
      <c r="E764" s="52" t="s">
        <v>938</v>
      </c>
      <c r="F764" s="2"/>
      <c r="G764" s="36">
        <v>-37.13</v>
      </c>
      <c r="H764" s="2"/>
      <c r="I764" s="52" t="s">
        <v>272</v>
      </c>
      <c r="J764" s="2"/>
      <c r="K764" s="2"/>
    </row>
    <row r="765" ht="15.0" customHeight="1">
      <c r="A765" s="49">
        <v>45962.0</v>
      </c>
      <c r="B765" s="52" t="s">
        <v>551</v>
      </c>
      <c r="C765" s="52" t="s">
        <v>455</v>
      </c>
      <c r="D765" s="52" t="s">
        <v>270</v>
      </c>
      <c r="E765" s="52" t="s">
        <v>939</v>
      </c>
      <c r="F765" s="2"/>
      <c r="G765" s="36">
        <v>-16.8</v>
      </c>
      <c r="H765" s="2"/>
      <c r="I765" s="52" t="s">
        <v>272</v>
      </c>
      <c r="J765" s="2"/>
      <c r="K765" s="2"/>
    </row>
    <row r="766" ht="15.0" customHeight="1">
      <c r="A766" s="49">
        <v>45962.0</v>
      </c>
      <c r="B766" s="52" t="s">
        <v>782</v>
      </c>
      <c r="C766" s="52" t="s">
        <v>152</v>
      </c>
      <c r="D766" s="52" t="s">
        <v>270</v>
      </c>
      <c r="E766" s="52" t="s">
        <v>940</v>
      </c>
      <c r="F766" s="2"/>
      <c r="G766" s="36">
        <v>-46.85</v>
      </c>
      <c r="H766" s="2"/>
      <c r="I766" s="52" t="s">
        <v>272</v>
      </c>
      <c r="J766" s="2"/>
      <c r="K766" s="2"/>
    </row>
    <row r="767" ht="15.0" customHeight="1">
      <c r="A767" s="49">
        <v>45962.0</v>
      </c>
      <c r="B767" s="52" t="s">
        <v>782</v>
      </c>
      <c r="C767" s="52" t="s">
        <v>152</v>
      </c>
      <c r="D767" s="52" t="s">
        <v>270</v>
      </c>
      <c r="E767" s="52" t="s">
        <v>940</v>
      </c>
      <c r="F767" s="2"/>
      <c r="G767" s="36">
        <v>-10.66</v>
      </c>
      <c r="H767" s="2"/>
      <c r="I767" s="52" t="s">
        <v>272</v>
      </c>
      <c r="J767" s="2"/>
      <c r="K767" s="2"/>
    </row>
    <row r="768" ht="15.0" customHeight="1">
      <c r="A768" s="49">
        <v>45962.0</v>
      </c>
      <c r="B768" s="52" t="s">
        <v>319</v>
      </c>
      <c r="C768" s="52" t="s">
        <v>28</v>
      </c>
      <c r="D768" s="52" t="s">
        <v>270</v>
      </c>
      <c r="E768" s="52" t="s">
        <v>941</v>
      </c>
      <c r="F768" s="2"/>
      <c r="G768" s="36">
        <v>-13.54</v>
      </c>
      <c r="H768" s="2"/>
      <c r="I768" s="52" t="s">
        <v>272</v>
      </c>
      <c r="J768" s="2"/>
      <c r="K768" s="2"/>
    </row>
    <row r="769" ht="15.0" customHeight="1">
      <c r="A769" s="49">
        <v>45962.0</v>
      </c>
      <c r="B769" s="52" t="s">
        <v>885</v>
      </c>
      <c r="C769" s="52" t="s">
        <v>152</v>
      </c>
      <c r="D769" s="52" t="s">
        <v>270</v>
      </c>
      <c r="E769" s="52" t="s">
        <v>323</v>
      </c>
      <c r="F769" s="2"/>
      <c r="G769" s="36">
        <v>-50.64</v>
      </c>
      <c r="H769" s="2"/>
      <c r="I769" s="52" t="s">
        <v>272</v>
      </c>
      <c r="J769" s="2"/>
      <c r="K769" s="2"/>
    </row>
    <row r="770" ht="15.0" customHeight="1">
      <c r="A770" s="49">
        <v>45962.0</v>
      </c>
      <c r="B770" s="52" t="s">
        <v>699</v>
      </c>
      <c r="C770" s="52" t="s">
        <v>281</v>
      </c>
      <c r="D770" s="52" t="s">
        <v>353</v>
      </c>
      <c r="E770" s="52" t="s">
        <v>942</v>
      </c>
      <c r="F770" s="2"/>
      <c r="G770" s="36">
        <v>-0.05</v>
      </c>
      <c r="H770" s="2"/>
      <c r="I770" s="52" t="s">
        <v>272</v>
      </c>
      <c r="J770" s="2"/>
      <c r="K770" s="2"/>
    </row>
    <row r="771" ht="15.0" customHeight="1">
      <c r="A771" s="49">
        <v>45962.0</v>
      </c>
      <c r="B771" s="52" t="s">
        <v>943</v>
      </c>
      <c r="C771" s="52" t="s">
        <v>156</v>
      </c>
      <c r="D771" s="52" t="s">
        <v>270</v>
      </c>
      <c r="E771" s="52" t="s">
        <v>944</v>
      </c>
      <c r="F771" s="2"/>
      <c r="G771" s="36">
        <v>-84.35</v>
      </c>
      <c r="H771" s="2"/>
      <c r="I771" s="52" t="s">
        <v>272</v>
      </c>
      <c r="J771" s="2"/>
      <c r="K771" s="2"/>
    </row>
    <row r="772" ht="15.0" customHeight="1">
      <c r="A772" s="49">
        <v>45962.0</v>
      </c>
      <c r="B772" s="52" t="s">
        <v>768</v>
      </c>
      <c r="C772" s="52" t="s">
        <v>455</v>
      </c>
      <c r="D772" s="52" t="s">
        <v>296</v>
      </c>
      <c r="E772" s="52" t="s">
        <v>769</v>
      </c>
      <c r="F772" s="2"/>
      <c r="G772" s="36">
        <v>-10.0</v>
      </c>
      <c r="H772" s="2"/>
      <c r="I772" s="52" t="s">
        <v>272</v>
      </c>
      <c r="J772" s="2"/>
      <c r="K772" s="2"/>
    </row>
    <row r="773" ht="15.0" customHeight="1">
      <c r="A773" s="49">
        <v>45961.0</v>
      </c>
      <c r="B773" s="52" t="s">
        <v>165</v>
      </c>
      <c r="C773" s="52" t="s">
        <v>28</v>
      </c>
      <c r="D773" s="52" t="s">
        <v>277</v>
      </c>
      <c r="E773" s="52" t="s">
        <v>313</v>
      </c>
      <c r="F773" s="2"/>
      <c r="G773" s="36">
        <v>-37.01</v>
      </c>
      <c r="H773" s="2"/>
      <c r="I773" s="52" t="s">
        <v>269</v>
      </c>
      <c r="J773" s="2"/>
      <c r="K773" s="2"/>
    </row>
    <row r="774" ht="15.0" customHeight="1">
      <c r="A774" s="49">
        <v>45961.0</v>
      </c>
      <c r="B774" s="52" t="s">
        <v>164</v>
      </c>
      <c r="C774" s="52" t="s">
        <v>27</v>
      </c>
      <c r="D774" s="52" t="s">
        <v>277</v>
      </c>
      <c r="E774" s="52" t="s">
        <v>274</v>
      </c>
      <c r="F774" s="2"/>
      <c r="G774" s="36">
        <v>-39.19</v>
      </c>
      <c r="H774" s="2"/>
      <c r="I774" s="52" t="s">
        <v>269</v>
      </c>
      <c r="J774" s="2"/>
      <c r="K774" s="2"/>
    </row>
    <row r="775" ht="15.0" customHeight="1">
      <c r="A775" s="49">
        <v>45961.0</v>
      </c>
      <c r="B775" s="52" t="s">
        <v>321</v>
      </c>
      <c r="C775" s="52" t="s">
        <v>152</v>
      </c>
      <c r="D775" s="52" t="s">
        <v>277</v>
      </c>
      <c r="E775" s="52" t="s">
        <v>323</v>
      </c>
      <c r="F775" s="2"/>
      <c r="G775" s="36">
        <v>-25.04</v>
      </c>
      <c r="H775" s="2"/>
      <c r="I775" s="52" t="s">
        <v>269</v>
      </c>
      <c r="J775" s="2"/>
      <c r="K775" s="2"/>
    </row>
    <row r="776" ht="15.0" customHeight="1">
      <c r="A776" s="49">
        <v>45961.0</v>
      </c>
      <c r="B776" s="52" t="s">
        <v>283</v>
      </c>
      <c r="C776" s="52" t="s">
        <v>154</v>
      </c>
      <c r="D776" s="52" t="s">
        <v>267</v>
      </c>
      <c r="E776" s="52" t="s">
        <v>945</v>
      </c>
      <c r="F776" s="2"/>
      <c r="G776" s="36">
        <v>-11.0</v>
      </c>
      <c r="H776" s="2"/>
      <c r="I776" s="52" t="s">
        <v>269</v>
      </c>
      <c r="J776" s="2"/>
      <c r="K776" s="2"/>
    </row>
    <row r="777" ht="15.0" customHeight="1">
      <c r="A777" s="49">
        <v>45961.0</v>
      </c>
      <c r="B777" s="52" t="s">
        <v>341</v>
      </c>
      <c r="C777" s="52" t="s">
        <v>155</v>
      </c>
      <c r="D777" s="52" t="s">
        <v>267</v>
      </c>
      <c r="E777" s="52" t="s">
        <v>946</v>
      </c>
      <c r="F777" s="2"/>
      <c r="G777" s="36">
        <v>-23.0</v>
      </c>
      <c r="H777" s="2"/>
      <c r="I777" s="52" t="s">
        <v>269</v>
      </c>
      <c r="J777" s="2"/>
      <c r="K777" s="2"/>
    </row>
    <row r="778" ht="15.0" customHeight="1">
      <c r="A778" s="49">
        <v>45961.0</v>
      </c>
      <c r="B778" s="52" t="s">
        <v>562</v>
      </c>
      <c r="C778" s="52" t="s">
        <v>563</v>
      </c>
      <c r="D778" s="52" t="s">
        <v>564</v>
      </c>
      <c r="E778" s="52" t="s">
        <v>565</v>
      </c>
      <c r="F778" s="2"/>
      <c r="G778" s="36">
        <v>0.04</v>
      </c>
      <c r="H778" s="2"/>
      <c r="I778" s="52" t="s">
        <v>269</v>
      </c>
      <c r="J778" s="2"/>
      <c r="K778" s="2"/>
    </row>
    <row r="779" ht="15.0" customHeight="1">
      <c r="A779" s="49">
        <v>45961.0</v>
      </c>
      <c r="B779" s="52" t="s">
        <v>537</v>
      </c>
      <c r="C779" s="52" t="s">
        <v>26</v>
      </c>
      <c r="D779" s="52" t="s">
        <v>270</v>
      </c>
      <c r="E779" s="52" t="s">
        <v>538</v>
      </c>
      <c r="F779" s="2"/>
      <c r="G779" s="36">
        <v>-16.06</v>
      </c>
      <c r="H779" s="2"/>
      <c r="I779" s="52" t="s">
        <v>272</v>
      </c>
      <c r="J779" s="2"/>
      <c r="K779" s="2"/>
    </row>
    <row r="780" ht="15.0" customHeight="1">
      <c r="A780" s="49">
        <v>45961.0</v>
      </c>
      <c r="B780" s="52" t="s">
        <v>566</v>
      </c>
      <c r="C780" s="52" t="s">
        <v>563</v>
      </c>
      <c r="D780" s="52" t="s">
        <v>296</v>
      </c>
      <c r="E780" s="52" t="s">
        <v>566</v>
      </c>
      <c r="F780" s="2"/>
      <c r="G780" s="36">
        <v>0.22</v>
      </c>
      <c r="H780" s="2"/>
      <c r="I780" s="52" t="s">
        <v>272</v>
      </c>
      <c r="J780" s="2"/>
      <c r="K780" s="2"/>
    </row>
    <row r="781" ht="15.0" customHeight="1">
      <c r="A781" s="49">
        <v>45961.0</v>
      </c>
      <c r="B781" s="52" t="s">
        <v>784</v>
      </c>
      <c r="C781" s="52" t="s">
        <v>308</v>
      </c>
      <c r="D781" s="52" t="s">
        <v>296</v>
      </c>
      <c r="E781" s="52" t="s">
        <v>784</v>
      </c>
      <c r="F781" s="2"/>
      <c r="G781" s="36">
        <v>18.21</v>
      </c>
      <c r="H781" s="2"/>
      <c r="I781" s="52" t="s">
        <v>272</v>
      </c>
      <c r="J781" s="2"/>
      <c r="K781" s="2"/>
    </row>
    <row r="782" ht="15.0" customHeight="1">
      <c r="A782" s="49">
        <v>45961.0</v>
      </c>
      <c r="B782" s="52" t="s">
        <v>785</v>
      </c>
      <c r="C782" s="52" t="s">
        <v>412</v>
      </c>
      <c r="D782" s="52" t="s">
        <v>296</v>
      </c>
      <c r="E782" s="52" t="s">
        <v>947</v>
      </c>
      <c r="F782" s="2"/>
      <c r="G782" s="36">
        <v>3217.33</v>
      </c>
      <c r="H782" s="2"/>
      <c r="I782" s="52" t="s">
        <v>272</v>
      </c>
      <c r="J782" s="2"/>
      <c r="K782" s="2"/>
    </row>
    <row r="783" ht="15.0" customHeight="1">
      <c r="A783" s="49">
        <v>45960.0</v>
      </c>
      <c r="B783" s="52" t="s">
        <v>164</v>
      </c>
      <c r="C783" s="52" t="s">
        <v>27</v>
      </c>
      <c r="D783" s="52" t="s">
        <v>277</v>
      </c>
      <c r="E783" s="52" t="s">
        <v>364</v>
      </c>
      <c r="F783" s="2"/>
      <c r="G783" s="36">
        <v>-38.1</v>
      </c>
      <c r="H783" s="2"/>
      <c r="I783" s="52" t="s">
        <v>269</v>
      </c>
      <c r="J783" s="2"/>
      <c r="K783" s="2"/>
    </row>
    <row r="784" ht="15.0" customHeight="1">
      <c r="A784" s="49">
        <v>45960.0</v>
      </c>
      <c r="B784" s="52" t="s">
        <v>315</v>
      </c>
      <c r="C784" s="52" t="s">
        <v>26</v>
      </c>
      <c r="D784" s="52" t="s">
        <v>277</v>
      </c>
      <c r="E784" s="52" t="s">
        <v>316</v>
      </c>
      <c r="F784" s="2"/>
      <c r="G784" s="36">
        <v>-43.24</v>
      </c>
      <c r="H784" s="2"/>
      <c r="I784" s="52" t="s">
        <v>269</v>
      </c>
      <c r="J784" s="2"/>
      <c r="K784" s="2"/>
    </row>
    <row r="785" ht="15.0" customHeight="1">
      <c r="A785" s="49">
        <v>45960.0</v>
      </c>
      <c r="B785" s="52" t="s">
        <v>164</v>
      </c>
      <c r="C785" s="52" t="s">
        <v>27</v>
      </c>
      <c r="D785" s="52" t="s">
        <v>277</v>
      </c>
      <c r="E785" s="52" t="s">
        <v>274</v>
      </c>
      <c r="F785" s="2"/>
      <c r="G785" s="36">
        <v>-100.09</v>
      </c>
      <c r="H785" s="2"/>
      <c r="I785" s="52" t="s">
        <v>269</v>
      </c>
      <c r="J785" s="2"/>
      <c r="K785" s="2"/>
    </row>
    <row r="786" ht="15.0" customHeight="1">
      <c r="A786" s="49">
        <v>45960.0</v>
      </c>
      <c r="B786" s="52" t="s">
        <v>948</v>
      </c>
      <c r="C786" s="52" t="s">
        <v>156</v>
      </c>
      <c r="D786" s="52" t="s">
        <v>277</v>
      </c>
      <c r="E786" s="52" t="s">
        <v>949</v>
      </c>
      <c r="F786" s="2"/>
      <c r="G786" s="36">
        <v>-439.94</v>
      </c>
      <c r="H786" s="2"/>
      <c r="I786" s="52" t="s">
        <v>269</v>
      </c>
      <c r="J786" s="2"/>
      <c r="K786" s="2"/>
    </row>
    <row r="787" ht="15.0" customHeight="1">
      <c r="A787" s="49">
        <v>45960.0</v>
      </c>
      <c r="B787" s="52" t="s">
        <v>620</v>
      </c>
      <c r="C787" s="52" t="s">
        <v>396</v>
      </c>
      <c r="D787" s="52" t="s">
        <v>267</v>
      </c>
      <c r="E787" s="52" t="s">
        <v>621</v>
      </c>
      <c r="F787" s="2"/>
      <c r="G787" s="36">
        <v>-680.6</v>
      </c>
      <c r="H787" s="2"/>
      <c r="I787" s="52" t="s">
        <v>269</v>
      </c>
      <c r="J787" s="2"/>
      <c r="K787" s="2"/>
    </row>
    <row r="788" ht="15.0" customHeight="1">
      <c r="A788" s="49">
        <v>45960.0</v>
      </c>
      <c r="B788" s="52" t="s">
        <v>333</v>
      </c>
      <c r="C788" s="52" t="s">
        <v>158</v>
      </c>
      <c r="D788" s="52" t="s">
        <v>267</v>
      </c>
      <c r="E788" s="52" t="s">
        <v>950</v>
      </c>
      <c r="F788" s="2"/>
      <c r="G788" s="36">
        <v>-75.0</v>
      </c>
      <c r="H788" s="2"/>
      <c r="I788" s="52" t="s">
        <v>269</v>
      </c>
      <c r="J788" s="2"/>
      <c r="K788" s="2"/>
    </row>
    <row r="789" ht="15.0" customHeight="1">
      <c r="A789" s="49">
        <v>45960.0</v>
      </c>
      <c r="B789" s="52" t="s">
        <v>575</v>
      </c>
      <c r="C789" s="52" t="s">
        <v>153</v>
      </c>
      <c r="D789" s="52" t="s">
        <v>267</v>
      </c>
      <c r="E789" s="52" t="s">
        <v>951</v>
      </c>
      <c r="F789" s="2"/>
      <c r="G789" s="36">
        <v>-10.88</v>
      </c>
      <c r="H789" s="2"/>
      <c r="I789" s="52" t="s">
        <v>269</v>
      </c>
      <c r="J789" s="2"/>
      <c r="K789" s="2"/>
    </row>
    <row r="790" ht="15.0" customHeight="1">
      <c r="A790" s="49">
        <v>45960.0</v>
      </c>
      <c r="B790" s="52" t="s">
        <v>425</v>
      </c>
      <c r="C790" s="52" t="s">
        <v>469</v>
      </c>
      <c r="D790" s="52" t="s">
        <v>267</v>
      </c>
      <c r="E790" s="52" t="s">
        <v>952</v>
      </c>
      <c r="F790" s="2"/>
      <c r="G790" s="36">
        <v>-5.0</v>
      </c>
      <c r="H790" s="2"/>
      <c r="I790" s="52" t="s">
        <v>269</v>
      </c>
      <c r="J790" s="2"/>
      <c r="K790" s="2"/>
    </row>
    <row r="791" ht="15.0" customHeight="1">
      <c r="A791" s="49">
        <v>45960.0</v>
      </c>
      <c r="B791" s="52" t="s">
        <v>166</v>
      </c>
      <c r="C791" s="52" t="s">
        <v>26</v>
      </c>
      <c r="D791" s="52" t="s">
        <v>270</v>
      </c>
      <c r="E791" s="52" t="s">
        <v>374</v>
      </c>
      <c r="F791" s="2"/>
      <c r="G791" s="36">
        <v>-73.71</v>
      </c>
      <c r="H791" s="2"/>
      <c r="I791" s="52" t="s">
        <v>272</v>
      </c>
      <c r="J791" s="2"/>
      <c r="K791" s="2"/>
    </row>
    <row r="792" ht="15.0" customHeight="1">
      <c r="A792" s="49">
        <v>45960.0</v>
      </c>
      <c r="B792" s="52" t="s">
        <v>953</v>
      </c>
      <c r="C792" s="52" t="s">
        <v>28</v>
      </c>
      <c r="D792" s="52" t="s">
        <v>270</v>
      </c>
      <c r="E792" s="52" t="s">
        <v>954</v>
      </c>
      <c r="F792" s="2"/>
      <c r="G792" s="36">
        <v>-75.6</v>
      </c>
      <c r="H792" s="2"/>
      <c r="I792" s="52" t="s">
        <v>272</v>
      </c>
      <c r="J792" s="2"/>
      <c r="K792" s="2"/>
    </row>
    <row r="793" ht="15.0" customHeight="1">
      <c r="A793" s="49">
        <v>45960.0</v>
      </c>
      <c r="B793" s="52" t="s">
        <v>955</v>
      </c>
      <c r="C793" s="52" t="s">
        <v>27</v>
      </c>
      <c r="D793" s="52" t="s">
        <v>270</v>
      </c>
      <c r="E793" s="52" t="s">
        <v>956</v>
      </c>
      <c r="F793" s="2"/>
      <c r="G793" s="36">
        <v>-145.0</v>
      </c>
      <c r="H793" s="2"/>
      <c r="I793" s="52" t="s">
        <v>272</v>
      </c>
      <c r="J793" s="2"/>
      <c r="K793" s="2"/>
    </row>
    <row r="794" ht="15.75" customHeight="1">
      <c r="A794" s="2"/>
      <c r="B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22.0"/>
    <col customWidth="1" min="4" max="4" width="30.0"/>
    <col customWidth="1" min="5" max="5" width="40.0"/>
    <col customWidth="1" min="6" max="6" width="20.0"/>
    <col customWidth="1" min="7" max="7" width="12.0"/>
    <col customWidth="1" min="8" max="8" width="8.71"/>
    <col customWidth="1" min="9" max="9" width="20.0"/>
    <col customWidth="1" min="10" max="10" width="3.0"/>
    <col customWidth="1" min="11" max="11" width="15.0"/>
    <col customWidth="1" min="12" max="26" width="8.71"/>
  </cols>
  <sheetData>
    <row r="1" ht="24.0" customHeight="1">
      <c r="A1" s="53" t="s">
        <v>957</v>
      </c>
      <c r="B1" s="2"/>
      <c r="C1" s="2"/>
      <c r="D1" s="2"/>
      <c r="E1" s="2"/>
      <c r="F1" s="2"/>
      <c r="G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I2" s="2"/>
      <c r="J2" s="2"/>
      <c r="K2" s="2"/>
    </row>
    <row r="3" ht="15.0" customHeight="1">
      <c r="A3" s="4" t="s">
        <v>958</v>
      </c>
      <c r="B3" s="2"/>
      <c r="C3" s="2"/>
      <c r="D3" s="2"/>
      <c r="E3" s="2"/>
      <c r="F3" s="2"/>
      <c r="G3" s="2"/>
      <c r="I3" s="2"/>
      <c r="J3" s="2"/>
      <c r="K3" s="2"/>
    </row>
    <row r="4" ht="15.0" customHeight="1">
      <c r="A4" s="4" t="s">
        <v>959</v>
      </c>
      <c r="B4" s="2"/>
      <c r="C4" s="2"/>
      <c r="D4" s="2"/>
      <c r="E4" s="2"/>
      <c r="F4" s="2"/>
      <c r="G4" s="2"/>
      <c r="I4" s="2"/>
      <c r="J4" s="2"/>
      <c r="K4" s="2"/>
    </row>
    <row r="5" ht="15.0" customHeight="1">
      <c r="A5" s="4" t="s">
        <v>960</v>
      </c>
      <c r="B5" s="2"/>
      <c r="C5" s="2"/>
      <c r="D5" s="2"/>
      <c r="E5" s="2"/>
      <c r="F5" s="2"/>
      <c r="G5" s="2"/>
      <c r="I5" s="2"/>
      <c r="J5" s="2"/>
      <c r="K5" s="2"/>
    </row>
    <row r="6" ht="15.0" customHeight="1">
      <c r="A6" s="4" t="s">
        <v>961</v>
      </c>
      <c r="B6" s="2"/>
      <c r="C6" s="2"/>
      <c r="D6" s="2"/>
      <c r="E6" s="2"/>
      <c r="F6" s="2"/>
      <c r="G6" s="2"/>
      <c r="I6" s="2"/>
      <c r="J6" s="2"/>
      <c r="K6" s="2"/>
    </row>
    <row r="7" ht="15.0" customHeight="1">
      <c r="A7" s="4" t="s">
        <v>962</v>
      </c>
      <c r="B7" s="2"/>
      <c r="C7" s="2"/>
      <c r="D7" s="2"/>
      <c r="E7" s="2"/>
      <c r="F7" s="2"/>
      <c r="G7" s="2"/>
      <c r="I7" s="2"/>
      <c r="J7" s="2"/>
      <c r="K7" s="2"/>
    </row>
    <row r="8" ht="15.0" customHeight="1">
      <c r="A8" s="2" t="s">
        <v>963</v>
      </c>
      <c r="B8" s="2"/>
      <c r="C8" s="2"/>
      <c r="D8" s="2"/>
      <c r="E8" s="2"/>
      <c r="F8" s="2"/>
      <c r="G8" s="2"/>
      <c r="I8" s="2"/>
      <c r="J8" s="2"/>
      <c r="K8" s="2"/>
    </row>
    <row r="9" ht="15.0" customHeight="1">
      <c r="A9" s="54" t="s">
        <v>964</v>
      </c>
      <c r="B9" s="2"/>
      <c r="C9" s="2"/>
      <c r="D9" s="2"/>
      <c r="E9" s="2"/>
      <c r="F9" s="2"/>
      <c r="G9" s="2"/>
      <c r="I9" s="2"/>
      <c r="J9" s="2"/>
      <c r="K9" s="2"/>
    </row>
    <row r="10" ht="15.0" customHeight="1">
      <c r="A10" s="2" t="s">
        <v>965</v>
      </c>
      <c r="B10" s="2"/>
      <c r="C10" s="2"/>
      <c r="D10" s="2"/>
      <c r="E10" s="2"/>
      <c r="F10" s="2"/>
      <c r="G10" s="2"/>
      <c r="I10" s="2"/>
      <c r="J10" s="2"/>
      <c r="K10" s="2"/>
    </row>
    <row r="11" ht="15.0" customHeight="1">
      <c r="A11" s="33" t="s">
        <v>966</v>
      </c>
      <c r="B11" s="2"/>
      <c r="C11" s="2"/>
      <c r="D11" s="2"/>
      <c r="E11" s="2"/>
      <c r="F11" s="2"/>
      <c r="G11" s="2"/>
      <c r="I11" s="2"/>
      <c r="J11" s="2"/>
      <c r="K11" s="2"/>
    </row>
    <row r="12" ht="15.0" customHeight="1">
      <c r="A12" s="2" t="s">
        <v>967</v>
      </c>
      <c r="B12" s="2">
        <f>COUNTA(A16:A10000)</f>
        <v>0</v>
      </c>
      <c r="C12" s="2" t="s">
        <v>968</v>
      </c>
      <c r="D12" s="2" t="str">
        <f>IF(B12&gt;0,TEXT(MIN(A16:A10000),"MM/DD")&amp;" - "&amp;TEXT(MAX(A16:A10000),"MM/DD"),"No data")</f>
        <v>No data</v>
      </c>
      <c r="E12" s="2" t="s">
        <v>969</v>
      </c>
      <c r="F12" s="55">
        <f>COUNTIF(K16:K10000,"⚠️ DUPLICATE")</f>
        <v>0</v>
      </c>
      <c r="G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I13" s="2"/>
      <c r="J13" s="2"/>
      <c r="K13" s="2"/>
    </row>
    <row r="14" ht="17.25" customHeight="1">
      <c r="A14" s="56" t="s">
        <v>970</v>
      </c>
      <c r="B14" s="2"/>
      <c r="C14" s="2"/>
      <c r="D14" s="2"/>
      <c r="E14" s="2"/>
      <c r="F14" s="2"/>
      <c r="G14" s="2"/>
      <c r="I14" s="2"/>
      <c r="J14" s="2"/>
      <c r="K14" s="2"/>
    </row>
    <row r="15" ht="15.0" customHeight="1">
      <c r="A15" s="57" t="s">
        <v>258</v>
      </c>
      <c r="B15" s="57" t="s">
        <v>259</v>
      </c>
      <c r="C15" s="57" t="s">
        <v>22</v>
      </c>
      <c r="D15" s="57" t="s">
        <v>260</v>
      </c>
      <c r="E15" s="57" t="s">
        <v>261</v>
      </c>
      <c r="F15" s="57" t="s">
        <v>39</v>
      </c>
      <c r="G15" s="57" t="s">
        <v>262</v>
      </c>
      <c r="H15" s="57" t="s">
        <v>263</v>
      </c>
      <c r="I15" s="57" t="s">
        <v>264</v>
      </c>
      <c r="J15" s="57" t="s">
        <v>265</v>
      </c>
      <c r="K15" s="58" t="s">
        <v>971</v>
      </c>
    </row>
    <row r="16" ht="15.0" customHeight="1">
      <c r="A16" s="59"/>
      <c r="B16" s="59"/>
      <c r="C16" s="59"/>
      <c r="D16" s="59"/>
      <c r="E16" s="59"/>
      <c r="F16" s="59"/>
      <c r="G16" s="59"/>
      <c r="H16" s="59"/>
      <c r="I16" s="59"/>
      <c r="J16" s="2"/>
      <c r="K16" s="2" t="str">
        <f>IF(A16="","",IF(COUNTIFS('Raw Data'!A:A,A16,'Raw Data'!G:G,G16,'Raw Data'!B:B,B16)&gt;0,"⚠️ DUPLICATE","✓ New"))</f>
        <v/>
      </c>
    </row>
    <row r="17" ht="15.0" customHeight="1">
      <c r="A17" s="59"/>
      <c r="B17" s="59"/>
      <c r="C17" s="59"/>
      <c r="D17" s="59"/>
      <c r="E17" s="59"/>
      <c r="F17" s="59"/>
      <c r="G17" s="59"/>
      <c r="H17" s="59"/>
      <c r="I17" s="59"/>
      <c r="J17" s="2"/>
      <c r="K17" s="2" t="str">
        <f>IF(A17="","",IF(COUNTIFS('Raw Data'!A:A,A17,'Raw Data'!G:G,G17,'Raw Data'!B:B,B17)&gt;0,"⚠️ DUPLICATE","✓ New"))</f>
        <v/>
      </c>
    </row>
    <row r="18" ht="15.0" customHeight="1">
      <c r="A18" s="59"/>
      <c r="B18" s="59"/>
      <c r="C18" s="59"/>
      <c r="D18" s="59"/>
      <c r="E18" s="59"/>
      <c r="F18" s="59"/>
      <c r="G18" s="59"/>
      <c r="H18" s="59"/>
      <c r="I18" s="59"/>
      <c r="J18" s="2"/>
      <c r="K18" s="2" t="str">
        <f>IF(A18="","",IF(COUNTIFS('Raw Data'!A:A,A18,'Raw Data'!G:G,G18,'Raw Data'!B:B,B18)&gt;0,"⚠️ DUPLICATE","✓ New"))</f>
        <v/>
      </c>
    </row>
    <row r="19" ht="15.0" customHeight="1">
      <c r="A19" s="59"/>
      <c r="B19" s="59"/>
      <c r="C19" s="59"/>
      <c r="D19" s="59"/>
      <c r="E19" s="59"/>
      <c r="F19" s="59"/>
      <c r="G19" s="59"/>
      <c r="H19" s="59"/>
      <c r="I19" s="59"/>
      <c r="J19" s="2"/>
      <c r="K19" s="2" t="str">
        <f>IF(A19="","",IF(COUNTIFS('Raw Data'!A:A,A19,'Raw Data'!G:G,G19,'Raw Data'!B:B,B19)&gt;0,"⚠️ DUPLICATE","✓ New"))</f>
        <v/>
      </c>
    </row>
    <row r="20" ht="15.0" customHeight="1">
      <c r="A20" s="59"/>
      <c r="B20" s="59"/>
      <c r="C20" s="59"/>
      <c r="D20" s="59"/>
      <c r="E20" s="59"/>
      <c r="F20" s="59"/>
      <c r="G20" s="59"/>
      <c r="H20" s="59"/>
      <c r="I20" s="59"/>
      <c r="J20" s="2"/>
      <c r="K20" s="2" t="str">
        <f>IF(A20="","",IF(COUNTIFS('Raw Data'!A:A,A20,'Raw Data'!G:G,G20,'Raw Data'!B:B,B20)&gt;0,"⚠️ DUPLICATE","✓ New"))</f>
        <v/>
      </c>
    </row>
    <row r="21" ht="15.0" customHeight="1">
      <c r="A21" s="59"/>
      <c r="B21" s="59"/>
      <c r="C21" s="59"/>
      <c r="D21" s="59"/>
      <c r="E21" s="59"/>
      <c r="F21" s="59"/>
      <c r="G21" s="59"/>
      <c r="H21" s="59"/>
      <c r="I21" s="59"/>
      <c r="J21" s="2"/>
      <c r="K21" s="2" t="str">
        <f>IF(A21="","",IF(COUNTIFS('Raw Data'!A:A,A21,'Raw Data'!G:G,G21,'Raw Data'!B:B,B21)&gt;0,"⚠️ DUPLICATE","✓ New"))</f>
        <v/>
      </c>
    </row>
    <row r="22" ht="15.0" customHeight="1">
      <c r="A22" s="59"/>
      <c r="B22" s="59"/>
      <c r="C22" s="59"/>
      <c r="D22" s="59"/>
      <c r="E22" s="59"/>
      <c r="F22" s="59"/>
      <c r="G22" s="59"/>
      <c r="H22" s="59"/>
      <c r="I22" s="59"/>
      <c r="J22" s="2"/>
      <c r="K22" s="2" t="str">
        <f>IF(A22="","",IF(COUNTIFS('Raw Data'!A:A,A22,'Raw Data'!G:G,G22,'Raw Data'!B:B,B22)&gt;0,"⚠️ DUPLICATE","✓ New"))</f>
        <v/>
      </c>
    </row>
    <row r="23" ht="15.0" customHeight="1">
      <c r="A23" s="59"/>
      <c r="B23" s="59"/>
      <c r="C23" s="59"/>
      <c r="D23" s="59"/>
      <c r="E23" s="59"/>
      <c r="F23" s="59"/>
      <c r="G23" s="59"/>
      <c r="H23" s="59"/>
      <c r="I23" s="59"/>
      <c r="J23" s="2"/>
      <c r="K23" s="2" t="str">
        <f>IF(A23="","",IF(COUNTIFS('Raw Data'!A:A,A23,'Raw Data'!G:G,G23,'Raw Data'!B:B,B23)&gt;0,"⚠️ DUPLICATE","✓ New"))</f>
        <v/>
      </c>
    </row>
    <row r="24" ht="15.0" customHeight="1">
      <c r="A24" s="59"/>
      <c r="B24" s="59"/>
      <c r="C24" s="59"/>
      <c r="D24" s="59"/>
      <c r="E24" s="59"/>
      <c r="F24" s="59"/>
      <c r="G24" s="59"/>
      <c r="H24" s="59"/>
      <c r="I24" s="59"/>
      <c r="J24" s="2"/>
      <c r="K24" s="2" t="str">
        <f>IF(A24="","",IF(COUNTIFS('Raw Data'!A:A,A24,'Raw Data'!G:G,G24,'Raw Data'!B:B,B24)&gt;0,"⚠️ DUPLICATE","✓ New"))</f>
        <v/>
      </c>
    </row>
    <row r="25" ht="15.0" customHeight="1">
      <c r="A25" s="59"/>
      <c r="B25" s="59"/>
      <c r="C25" s="59"/>
      <c r="D25" s="59"/>
      <c r="E25" s="59"/>
      <c r="F25" s="59"/>
      <c r="G25" s="59"/>
      <c r="H25" s="59"/>
      <c r="I25" s="59"/>
      <c r="J25" s="2"/>
      <c r="K25" s="2" t="str">
        <f>IF(A25="","",IF(COUNTIFS('Raw Data'!A:A,A25,'Raw Data'!G:G,G25,'Raw Data'!B:B,B25)&gt;0,"⚠️ DUPLICATE","✓ New"))</f>
        <v/>
      </c>
    </row>
    <row r="26" ht="15.0" customHeight="1">
      <c r="A26" s="59"/>
      <c r="B26" s="59"/>
      <c r="C26" s="59"/>
      <c r="D26" s="59"/>
      <c r="E26" s="59"/>
      <c r="F26" s="59"/>
      <c r="G26" s="59"/>
      <c r="H26" s="59"/>
      <c r="I26" s="59"/>
      <c r="J26" s="2"/>
      <c r="K26" s="2" t="str">
        <f>IF(A26="","",IF(COUNTIFS('Raw Data'!A:A,A26,'Raw Data'!G:G,G26,'Raw Data'!B:B,B26)&gt;0,"⚠️ DUPLICATE","✓ New"))</f>
        <v/>
      </c>
    </row>
    <row r="27" ht="15.0" customHeight="1">
      <c r="A27" s="59"/>
      <c r="B27" s="59"/>
      <c r="C27" s="59"/>
      <c r="D27" s="59"/>
      <c r="E27" s="59"/>
      <c r="F27" s="59"/>
      <c r="G27" s="59"/>
      <c r="H27" s="59"/>
      <c r="I27" s="59"/>
      <c r="J27" s="2"/>
      <c r="K27" s="2" t="str">
        <f>IF(A27="","",IF(COUNTIFS('Raw Data'!A:A,A27,'Raw Data'!G:G,G27,'Raw Data'!B:B,B27)&gt;0,"⚠️ DUPLICATE","✓ New"))</f>
        <v/>
      </c>
    </row>
    <row r="28" ht="15.0" customHeight="1">
      <c r="A28" s="59"/>
      <c r="B28" s="59"/>
      <c r="C28" s="59"/>
      <c r="D28" s="59"/>
      <c r="E28" s="59"/>
      <c r="F28" s="59"/>
      <c r="G28" s="59"/>
      <c r="H28" s="59"/>
      <c r="I28" s="59"/>
      <c r="J28" s="2"/>
      <c r="K28" s="2" t="str">
        <f>IF(A28="","",IF(COUNTIFS('Raw Data'!A:A,A28,'Raw Data'!G:G,G28,'Raw Data'!B:B,B28)&gt;0,"⚠️ DUPLICATE","✓ New"))</f>
        <v/>
      </c>
    </row>
    <row r="29" ht="15.0" customHeight="1">
      <c r="A29" s="59"/>
      <c r="B29" s="59"/>
      <c r="C29" s="59"/>
      <c r="D29" s="59"/>
      <c r="E29" s="59"/>
      <c r="F29" s="59"/>
      <c r="G29" s="59"/>
      <c r="H29" s="59"/>
      <c r="I29" s="59"/>
      <c r="J29" s="2"/>
      <c r="K29" s="2" t="str">
        <f>IF(A29="","",IF(COUNTIFS('Raw Data'!A:A,A29,'Raw Data'!G:G,G29,'Raw Data'!B:B,B29)&gt;0,"⚠️ DUPLICATE","✓ New"))</f>
        <v/>
      </c>
    </row>
    <row r="30" ht="15.0" customHeight="1">
      <c r="A30" s="59"/>
      <c r="B30" s="59"/>
      <c r="C30" s="59"/>
      <c r="D30" s="59"/>
      <c r="E30" s="59"/>
      <c r="F30" s="59"/>
      <c r="G30" s="59"/>
      <c r="H30" s="59"/>
      <c r="I30" s="59"/>
      <c r="J30" s="2"/>
      <c r="K30" s="2" t="str">
        <f>IF(A30="","",IF(COUNTIFS('Raw Data'!A:A,A30,'Raw Data'!G:G,G30,'Raw Data'!B:B,B30)&gt;0,"⚠️ DUPLICATE","✓ New"))</f>
        <v/>
      </c>
    </row>
    <row r="31" ht="15.0" customHeight="1">
      <c r="A31" s="59"/>
      <c r="B31" s="59"/>
      <c r="C31" s="59"/>
      <c r="D31" s="59"/>
      <c r="E31" s="59"/>
      <c r="F31" s="59"/>
      <c r="G31" s="59"/>
      <c r="H31" s="59"/>
      <c r="I31" s="59"/>
      <c r="J31" s="2"/>
      <c r="K31" s="2" t="str">
        <f>IF(A31="","",IF(COUNTIFS('Raw Data'!A:A,A31,'Raw Data'!G:G,G31,'Raw Data'!B:B,B31)&gt;0,"⚠️ DUPLICATE","✓ New"))</f>
        <v/>
      </c>
    </row>
    <row r="32" ht="15.0" customHeight="1">
      <c r="A32" s="59"/>
      <c r="B32" s="59"/>
      <c r="C32" s="59"/>
      <c r="D32" s="59"/>
      <c r="E32" s="59"/>
      <c r="F32" s="59"/>
      <c r="G32" s="59"/>
      <c r="H32" s="59"/>
      <c r="I32" s="59"/>
      <c r="J32" s="2"/>
      <c r="K32" s="2" t="str">
        <f>IF(A32="","",IF(COUNTIFS('Raw Data'!A:A,A32,'Raw Data'!G:G,G32,'Raw Data'!B:B,B32)&gt;0,"⚠️ DUPLICATE","✓ New"))</f>
        <v/>
      </c>
    </row>
    <row r="33" ht="15.0" customHeight="1">
      <c r="A33" s="59"/>
      <c r="B33" s="59"/>
      <c r="C33" s="59"/>
      <c r="D33" s="59"/>
      <c r="E33" s="59"/>
      <c r="F33" s="59"/>
      <c r="G33" s="59"/>
      <c r="H33" s="59"/>
      <c r="I33" s="59"/>
      <c r="J33" s="2"/>
      <c r="K33" s="2" t="str">
        <f>IF(A33="","",IF(COUNTIFS('Raw Data'!A:A,A33,'Raw Data'!G:G,G33,'Raw Data'!B:B,B33)&gt;0,"⚠️ DUPLICATE","✓ New"))</f>
        <v/>
      </c>
    </row>
    <row r="34" ht="15.0" customHeight="1">
      <c r="A34" s="59"/>
      <c r="B34" s="59"/>
      <c r="C34" s="59"/>
      <c r="D34" s="59"/>
      <c r="E34" s="59"/>
      <c r="F34" s="59"/>
      <c r="G34" s="59"/>
      <c r="H34" s="59"/>
      <c r="I34" s="59"/>
      <c r="J34" s="2"/>
      <c r="K34" s="2" t="str">
        <f>IF(A34="","",IF(COUNTIFS('Raw Data'!A:A,A34,'Raw Data'!G:G,G34,'Raw Data'!B:B,B34)&gt;0,"⚠️ DUPLICATE","✓ New"))</f>
        <v/>
      </c>
    </row>
    <row r="35" ht="15.0" customHeight="1">
      <c r="A35" s="59"/>
      <c r="B35" s="59"/>
      <c r="C35" s="59"/>
      <c r="D35" s="59"/>
      <c r="E35" s="59"/>
      <c r="F35" s="59"/>
      <c r="G35" s="59"/>
      <c r="H35" s="59"/>
      <c r="I35" s="59"/>
      <c r="J35" s="2"/>
      <c r="K35" s="2" t="str">
        <f>IF(A35="","",IF(COUNTIFS('Raw Data'!A:A,A35,'Raw Data'!G:G,G35,'Raw Data'!B:B,B35)&gt;0,"⚠️ DUPLICATE","✓ New"))</f>
        <v/>
      </c>
    </row>
    <row r="36" ht="15.0" customHeight="1">
      <c r="A36" s="59"/>
      <c r="B36" s="59"/>
      <c r="C36" s="59"/>
      <c r="D36" s="59"/>
      <c r="E36" s="59"/>
      <c r="F36" s="59"/>
      <c r="G36" s="59"/>
      <c r="H36" s="59"/>
      <c r="I36" s="59"/>
      <c r="J36" s="2"/>
      <c r="K36" s="2" t="str">
        <f>IF(A36="","",IF(COUNTIFS('Raw Data'!A:A,A36,'Raw Data'!G:G,G36,'Raw Data'!B:B,B36)&gt;0,"⚠️ DUPLICATE","✓ New"))</f>
        <v/>
      </c>
    </row>
    <row r="37" ht="15.0" customHeight="1">
      <c r="A37" s="59"/>
      <c r="B37" s="59"/>
      <c r="C37" s="59"/>
      <c r="D37" s="59"/>
      <c r="E37" s="59"/>
      <c r="F37" s="59"/>
      <c r="G37" s="59"/>
      <c r="H37" s="59"/>
      <c r="I37" s="59"/>
      <c r="J37" s="2"/>
      <c r="K37" s="2" t="str">
        <f>IF(A37="","",IF(COUNTIFS('Raw Data'!A:A,A37,'Raw Data'!G:G,G37,'Raw Data'!B:B,B37)&gt;0,"⚠️ DUPLICATE","✓ New"))</f>
        <v/>
      </c>
    </row>
    <row r="38" ht="15.0" customHeight="1">
      <c r="A38" s="59"/>
      <c r="B38" s="59"/>
      <c r="C38" s="59"/>
      <c r="D38" s="59"/>
      <c r="E38" s="59"/>
      <c r="F38" s="59"/>
      <c r="G38" s="59"/>
      <c r="H38" s="59"/>
      <c r="I38" s="59"/>
      <c r="J38" s="2"/>
      <c r="K38" s="2" t="str">
        <f>IF(A38="","",IF(COUNTIFS('Raw Data'!A:A,A38,'Raw Data'!G:G,G38,'Raw Data'!B:B,B38)&gt;0,"⚠️ DUPLICATE","✓ New"))</f>
        <v/>
      </c>
    </row>
    <row r="39" ht="15.0" customHeight="1">
      <c r="A39" s="59"/>
      <c r="B39" s="59"/>
      <c r="C39" s="59"/>
      <c r="D39" s="59"/>
      <c r="E39" s="59"/>
      <c r="F39" s="59"/>
      <c r="G39" s="59"/>
      <c r="H39" s="59"/>
      <c r="I39" s="59"/>
      <c r="J39" s="2"/>
      <c r="K39" s="2" t="str">
        <f>IF(A39="","",IF(COUNTIFS('Raw Data'!A:A,A39,'Raw Data'!G:G,G39,'Raw Data'!B:B,B39)&gt;0,"⚠️ DUPLICATE","✓ New"))</f>
        <v/>
      </c>
    </row>
    <row r="40" ht="15.0" customHeight="1">
      <c r="A40" s="59"/>
      <c r="B40" s="59"/>
      <c r="C40" s="59"/>
      <c r="D40" s="59"/>
      <c r="E40" s="59"/>
      <c r="F40" s="59"/>
      <c r="G40" s="59"/>
      <c r="H40" s="59"/>
      <c r="I40" s="59"/>
      <c r="J40" s="2"/>
      <c r="K40" s="2" t="str">
        <f>IF(A40="","",IF(COUNTIFS('Raw Data'!A:A,A40,'Raw Data'!G:G,G40,'Raw Data'!B:B,B40)&gt;0,"⚠️ DUPLICATE","✓ New"))</f>
        <v/>
      </c>
    </row>
    <row r="41" ht="15.0" customHeight="1">
      <c r="A41" s="59"/>
      <c r="B41" s="59"/>
      <c r="C41" s="59"/>
      <c r="D41" s="59"/>
      <c r="E41" s="59"/>
      <c r="F41" s="59"/>
      <c r="G41" s="59"/>
      <c r="H41" s="59"/>
      <c r="I41" s="59"/>
      <c r="J41" s="2"/>
      <c r="K41" s="2" t="str">
        <f>IF(A41="","",IF(COUNTIFS('Raw Data'!A:A,A41,'Raw Data'!G:G,G41,'Raw Data'!B:B,B41)&gt;0,"⚠️ DUPLICATE","✓ New"))</f>
        <v/>
      </c>
    </row>
    <row r="42" ht="15.0" customHeight="1">
      <c r="A42" s="59"/>
      <c r="B42" s="59"/>
      <c r="C42" s="59"/>
      <c r="D42" s="59"/>
      <c r="E42" s="59"/>
      <c r="F42" s="59"/>
      <c r="G42" s="59"/>
      <c r="H42" s="59"/>
      <c r="I42" s="59"/>
      <c r="J42" s="2"/>
      <c r="K42" s="2" t="str">
        <f>IF(A42="","",IF(COUNTIFS('Raw Data'!A:A,A42,'Raw Data'!G:G,G42,'Raw Data'!B:B,B42)&gt;0,"⚠️ DUPLICATE","✓ New"))</f>
        <v/>
      </c>
    </row>
    <row r="43" ht="15.0" customHeight="1">
      <c r="A43" s="59"/>
      <c r="B43" s="59"/>
      <c r="C43" s="59"/>
      <c r="D43" s="59"/>
      <c r="E43" s="59"/>
      <c r="F43" s="59"/>
      <c r="G43" s="59"/>
      <c r="H43" s="59"/>
      <c r="I43" s="59"/>
      <c r="J43" s="2"/>
      <c r="K43" s="2" t="str">
        <f>IF(A43="","",IF(COUNTIFS('Raw Data'!A:A,A43,'Raw Data'!G:G,G43,'Raw Data'!B:B,B43)&gt;0,"⚠️ DUPLICATE","✓ New"))</f>
        <v/>
      </c>
    </row>
    <row r="44" ht="15.0" customHeight="1">
      <c r="A44" s="59"/>
      <c r="B44" s="59"/>
      <c r="C44" s="59"/>
      <c r="D44" s="59"/>
      <c r="E44" s="59"/>
      <c r="F44" s="59"/>
      <c r="G44" s="59"/>
      <c r="H44" s="59"/>
      <c r="I44" s="59"/>
      <c r="J44" s="2"/>
      <c r="K44" s="2" t="str">
        <f>IF(A44="","",IF(COUNTIFS('Raw Data'!A:A,A44,'Raw Data'!G:G,G44,'Raw Data'!B:B,B44)&gt;0,"⚠️ DUPLICATE","✓ New"))</f>
        <v/>
      </c>
    </row>
    <row r="45" ht="15.0" customHeight="1">
      <c r="A45" s="59"/>
      <c r="B45" s="59"/>
      <c r="C45" s="59"/>
      <c r="D45" s="59"/>
      <c r="E45" s="59"/>
      <c r="F45" s="59"/>
      <c r="G45" s="59"/>
      <c r="H45" s="59"/>
      <c r="I45" s="59"/>
      <c r="J45" s="2"/>
      <c r="K45" s="2" t="str">
        <f>IF(A45="","",IF(COUNTIFS('Raw Data'!A:A,A45,'Raw Data'!G:G,G45,'Raw Data'!B:B,B45)&gt;0,"⚠️ DUPLICATE","✓ New"))</f>
        <v/>
      </c>
    </row>
    <row r="46" ht="15.0" customHeight="1">
      <c r="A46" s="59"/>
      <c r="B46" s="59"/>
      <c r="C46" s="59"/>
      <c r="D46" s="59"/>
      <c r="E46" s="59"/>
      <c r="F46" s="59"/>
      <c r="G46" s="59"/>
      <c r="H46" s="59"/>
      <c r="I46" s="59"/>
      <c r="J46" s="2"/>
      <c r="K46" s="2" t="str">
        <f>IF(A46="","",IF(COUNTIFS('Raw Data'!A:A,A46,'Raw Data'!G:G,G46,'Raw Data'!B:B,B46)&gt;0,"⚠️ DUPLICATE","✓ New"))</f>
        <v/>
      </c>
    </row>
    <row r="47" ht="15.0" customHeight="1">
      <c r="A47" s="59"/>
      <c r="B47" s="59"/>
      <c r="C47" s="59"/>
      <c r="D47" s="59"/>
      <c r="E47" s="59"/>
      <c r="F47" s="59"/>
      <c r="G47" s="59"/>
      <c r="H47" s="59"/>
      <c r="I47" s="59"/>
      <c r="J47" s="2"/>
      <c r="K47" s="2" t="str">
        <f>IF(A47="","",IF(COUNTIFS('Raw Data'!A:A,A47,'Raw Data'!G:G,G47,'Raw Data'!B:B,B47)&gt;0,"⚠️ DUPLICATE","✓ New"))</f>
        <v/>
      </c>
    </row>
    <row r="48" ht="15.0" customHeight="1">
      <c r="A48" s="59"/>
      <c r="B48" s="59"/>
      <c r="C48" s="59"/>
      <c r="D48" s="59"/>
      <c r="E48" s="59"/>
      <c r="F48" s="59"/>
      <c r="G48" s="59"/>
      <c r="H48" s="59"/>
      <c r="I48" s="59"/>
      <c r="J48" s="2"/>
      <c r="K48" s="2" t="str">
        <f>IF(A48="","",IF(COUNTIFS('Raw Data'!A:A,A48,'Raw Data'!G:G,G48,'Raw Data'!B:B,B48)&gt;0,"⚠️ DUPLICATE","✓ New"))</f>
        <v/>
      </c>
    </row>
    <row r="49" ht="15.0" customHeight="1">
      <c r="A49" s="59"/>
      <c r="B49" s="59"/>
      <c r="C49" s="59"/>
      <c r="D49" s="59"/>
      <c r="E49" s="59"/>
      <c r="F49" s="59"/>
      <c r="G49" s="59"/>
      <c r="H49" s="59"/>
      <c r="I49" s="59"/>
      <c r="J49" s="2"/>
      <c r="K49" s="2" t="str">
        <f>IF(A49="","",IF(COUNTIFS('Raw Data'!A:A,A49,'Raw Data'!G:G,G49,'Raw Data'!B:B,B49)&gt;0,"⚠️ DUPLICATE","✓ New"))</f>
        <v/>
      </c>
    </row>
    <row r="50" ht="15.0" customHeight="1">
      <c r="A50" s="59"/>
      <c r="B50" s="59"/>
      <c r="C50" s="59"/>
      <c r="D50" s="59"/>
      <c r="E50" s="59"/>
      <c r="F50" s="59"/>
      <c r="G50" s="59"/>
      <c r="H50" s="59"/>
      <c r="I50" s="59"/>
      <c r="J50" s="2"/>
      <c r="K50" s="2" t="str">
        <f>IF(A50="","",IF(COUNTIFS('Raw Data'!A:A,A50,'Raw Data'!G:G,G50,'Raw Data'!B:B,B50)&gt;0,"⚠️ DUPLICATE","✓ New"))</f>
        <v/>
      </c>
    </row>
    <row r="51" ht="15.75" customHeight="1">
      <c r="A51" s="2"/>
      <c r="B51" s="2"/>
      <c r="C51" s="2"/>
      <c r="D51" s="2"/>
      <c r="E51" s="2"/>
      <c r="F51" s="2"/>
      <c r="G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I1000" s="2"/>
      <c r="J1000" s="2"/>
      <c r="K1000" s="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6" width="12.0"/>
    <col customWidth="1" min="7" max="26" width="8.71"/>
  </cols>
  <sheetData>
    <row r="1" ht="17.25" customHeight="1">
      <c r="A1" s="1" t="s">
        <v>972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 ht="15.0" customHeight="1">
      <c r="A3" s="3" t="s">
        <v>973</v>
      </c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 ht="15.0" customHeight="1">
      <c r="A5" s="2" t="s">
        <v>974</v>
      </c>
      <c r="B5" s="60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 ht="15.0" customHeight="1">
      <c r="A7" s="2" t="s">
        <v>975</v>
      </c>
      <c r="B7" s="2"/>
      <c r="C7" s="2"/>
      <c r="D7" s="2"/>
      <c r="E7" s="2"/>
      <c r="F7" s="2"/>
    </row>
    <row r="8" ht="15.0" customHeight="1">
      <c r="A8" s="2" t="s">
        <v>976</v>
      </c>
      <c r="B8" s="2" t="str">
        <f t="array" ref="B8">IF(B5="","",INDEX('Raw Data'!A:A,B5))</f>
        <v/>
      </c>
      <c r="C8" s="2"/>
      <c r="D8" s="2"/>
      <c r="E8" s="2"/>
      <c r="F8" s="2"/>
    </row>
    <row r="9" ht="15.0" customHeight="1">
      <c r="A9" s="2" t="s">
        <v>977</v>
      </c>
      <c r="B9" s="2" t="str">
        <f t="array" ref="B9">IF(B5="","",INDEX('Raw Data'!B:B,B5))</f>
        <v/>
      </c>
      <c r="C9" s="2"/>
      <c r="D9" s="2"/>
      <c r="E9" s="2"/>
      <c r="F9" s="2"/>
    </row>
    <row r="10" ht="15.0" customHeight="1">
      <c r="A10" s="2" t="s">
        <v>978</v>
      </c>
      <c r="B10" s="37" t="str">
        <f t="array" ref="B10">IF(B5="","",INDEX('Raw Data'!G:G,B5))</f>
        <v/>
      </c>
      <c r="C10" s="2"/>
      <c r="D10" s="2"/>
      <c r="E10" s="2"/>
      <c r="F10" s="2"/>
    </row>
    <row r="11" ht="15.0" customHeight="1">
      <c r="A11" s="2" t="s">
        <v>979</v>
      </c>
      <c r="B11" s="2" t="str">
        <f t="array" ref="B11">IF(B5="","",INDEX('Raw Data'!D:D,B5))</f>
        <v/>
      </c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 ht="15.0" customHeight="1">
      <c r="A13" s="4" t="s">
        <v>980</v>
      </c>
      <c r="B13" s="2"/>
      <c r="C13" s="2"/>
      <c r="D13" s="2"/>
      <c r="E13" s="2"/>
      <c r="F13" s="2"/>
    </row>
    <row r="14" ht="15.0" customHeight="1">
      <c r="A14" s="2" t="s">
        <v>258</v>
      </c>
      <c r="B14" s="2" t="s">
        <v>259</v>
      </c>
      <c r="C14" s="2" t="s">
        <v>22</v>
      </c>
      <c r="D14" s="2" t="s">
        <v>260</v>
      </c>
      <c r="E14" s="2" t="s">
        <v>39</v>
      </c>
      <c r="F14" s="2" t="s">
        <v>262</v>
      </c>
      <c r="G14" s="2" t="s">
        <v>264</v>
      </c>
    </row>
    <row r="15" ht="15.0" customHeight="1">
      <c r="A15" s="2" t="str">
        <f t="shared" ref="A15:A19" si="1">$B$8</f>
        <v/>
      </c>
      <c r="B15" s="2" t="str">
        <f t="shared" ref="B15:B19" si="2">$B$9</f>
        <v/>
      </c>
      <c r="C15" s="2"/>
      <c r="D15" s="2" t="str">
        <f t="shared" ref="D15:D19" si="3">$B$11</f>
        <v/>
      </c>
      <c r="E15" s="2" t="s">
        <v>981</v>
      </c>
      <c r="F15" s="60"/>
    </row>
    <row r="16" ht="15.0" customHeight="1">
      <c r="A16" s="2" t="str">
        <f t="shared" si="1"/>
        <v/>
      </c>
      <c r="B16" s="2" t="str">
        <f t="shared" si="2"/>
        <v/>
      </c>
      <c r="C16" s="2"/>
      <c r="D16" s="2" t="str">
        <f t="shared" si="3"/>
        <v/>
      </c>
      <c r="E16" s="2" t="s">
        <v>981</v>
      </c>
      <c r="F16" s="60"/>
    </row>
    <row r="17" ht="15.0" customHeight="1">
      <c r="A17" s="2" t="str">
        <f t="shared" si="1"/>
        <v/>
      </c>
      <c r="B17" s="2" t="str">
        <f t="shared" si="2"/>
        <v/>
      </c>
      <c r="C17" s="2"/>
      <c r="D17" s="2" t="str">
        <f t="shared" si="3"/>
        <v/>
      </c>
      <c r="E17" s="2" t="s">
        <v>981</v>
      </c>
      <c r="F17" s="60"/>
    </row>
    <row r="18" ht="15.0" customHeight="1">
      <c r="A18" s="2" t="str">
        <f t="shared" si="1"/>
        <v/>
      </c>
      <c r="B18" s="2" t="str">
        <f t="shared" si="2"/>
        <v/>
      </c>
      <c r="C18" s="2"/>
      <c r="D18" s="2" t="str">
        <f t="shared" si="3"/>
        <v/>
      </c>
      <c r="E18" s="2" t="s">
        <v>981</v>
      </c>
      <c r="F18" s="60"/>
    </row>
    <row r="19" ht="15.0" customHeight="1">
      <c r="A19" s="2" t="str">
        <f t="shared" si="1"/>
        <v/>
      </c>
      <c r="B19" s="2" t="str">
        <f t="shared" si="2"/>
        <v/>
      </c>
      <c r="C19" s="2"/>
      <c r="D19" s="2" t="str">
        <f t="shared" si="3"/>
        <v/>
      </c>
      <c r="E19" s="2" t="s">
        <v>981</v>
      </c>
      <c r="F19" s="60"/>
    </row>
    <row r="20">
      <c r="A20" s="2"/>
      <c r="B20" s="2"/>
      <c r="C20" s="2"/>
      <c r="D20" s="2"/>
      <c r="E20" s="2"/>
      <c r="F20" s="2"/>
    </row>
    <row r="21" ht="15.0" customHeight="1">
      <c r="A21" s="2" t="s">
        <v>982</v>
      </c>
      <c r="B21" s="37">
        <f>SUM(F15:F19)</f>
        <v>0</v>
      </c>
      <c r="C21" s="2" t="s">
        <v>983</v>
      </c>
      <c r="D21" s="37" t="str">
        <f>$B$10</f>
        <v/>
      </c>
      <c r="E21" s="2" t="s">
        <v>984</v>
      </c>
      <c r="F21" s="37">
        <f>IFERROR(D21-B21,0)</f>
        <v>0</v>
      </c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0" customHeight="1">
      <c r="A24" s="3" t="s">
        <v>985</v>
      </c>
      <c r="B24" s="2"/>
      <c r="C24" s="2"/>
      <c r="D24" s="2"/>
      <c r="E24" s="2"/>
      <c r="F24" s="2"/>
    </row>
    <row r="25" ht="15.0" customHeight="1">
      <c r="A25" s="2" t="s">
        <v>986</v>
      </c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0" customHeight="1">
      <c r="A27" s="2" t="s">
        <v>258</v>
      </c>
      <c r="B27" s="2" t="s">
        <v>987</v>
      </c>
      <c r="C27" s="2" t="s">
        <v>97</v>
      </c>
      <c r="D27" s="2" t="s">
        <v>988</v>
      </c>
      <c r="E27" s="2" t="s">
        <v>989</v>
      </c>
      <c r="F27" s="2" t="s">
        <v>22</v>
      </c>
    </row>
    <row r="28" ht="15.0" customHeight="1">
      <c r="A28" s="60"/>
      <c r="B28" s="60"/>
      <c r="C28" s="2"/>
      <c r="D28" s="2"/>
      <c r="E28" s="2"/>
      <c r="F28" s="2"/>
    </row>
    <row r="29" ht="15.0" customHeight="1">
      <c r="A29" s="60"/>
      <c r="B29" s="60"/>
      <c r="C29" s="2"/>
      <c r="D29" s="2"/>
      <c r="E29" s="2"/>
      <c r="F29" s="2"/>
    </row>
    <row r="30" ht="15.0" customHeight="1">
      <c r="A30" s="60"/>
      <c r="B30" s="60"/>
      <c r="C30" s="2"/>
      <c r="D30" s="2"/>
      <c r="E30" s="2"/>
      <c r="F30" s="2"/>
    </row>
    <row r="31" ht="15.0" customHeight="1">
      <c r="A31" s="60"/>
      <c r="B31" s="60"/>
      <c r="C31" s="2"/>
      <c r="D31" s="2"/>
      <c r="E31" s="2"/>
      <c r="F31" s="2"/>
    </row>
    <row r="32" ht="15.0" customHeight="1">
      <c r="A32" s="60"/>
      <c r="B32" s="60"/>
      <c r="C32" s="2"/>
      <c r="D32" s="2"/>
      <c r="E32" s="2"/>
      <c r="F32" s="2"/>
    </row>
    <row r="33" ht="15.0" customHeight="1">
      <c r="A33" s="60"/>
      <c r="B33" s="60"/>
      <c r="C33" s="2"/>
      <c r="D33" s="2"/>
      <c r="E33" s="2"/>
      <c r="F33" s="2"/>
    </row>
    <row r="34" ht="15.0" customHeight="1">
      <c r="A34" s="60"/>
      <c r="B34" s="60"/>
      <c r="C34" s="2"/>
      <c r="D34" s="2"/>
      <c r="E34" s="2"/>
      <c r="F34" s="2"/>
    </row>
    <row r="35" ht="15.0" customHeight="1">
      <c r="A35" s="60"/>
      <c r="B35" s="60"/>
      <c r="C35" s="2"/>
      <c r="D35" s="2"/>
      <c r="E35" s="2"/>
      <c r="F35" s="2"/>
    </row>
    <row r="36" ht="15.0" customHeight="1">
      <c r="A36" s="60"/>
      <c r="B36" s="60"/>
      <c r="C36" s="2"/>
      <c r="D36" s="2"/>
      <c r="E36" s="2"/>
      <c r="F36" s="2"/>
    </row>
    <row r="37" ht="15.0" customHeight="1">
      <c r="A37" s="60"/>
      <c r="B37" s="60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990</v>
      </c>
    </row>
    <row r="2" ht="15.0" customHeight="1">
      <c r="A2" s="2" t="s">
        <v>991</v>
      </c>
    </row>
    <row r="4" ht="15.0" customHeight="1">
      <c r="A4" s="3" t="s">
        <v>992</v>
      </c>
    </row>
    <row r="5" ht="15.0" customHeight="1">
      <c r="A5" s="2" t="s">
        <v>993</v>
      </c>
    </row>
    <row r="6" ht="15.0" customHeight="1">
      <c r="A6" s="2" t="s">
        <v>994</v>
      </c>
      <c r="B6" s="2" t="s">
        <v>995</v>
      </c>
    </row>
    <row r="7" ht="15.0" customHeight="1">
      <c r="A7" s="2" t="s">
        <v>996</v>
      </c>
      <c r="B7" s="5">
        <v>1180640.0</v>
      </c>
    </row>
    <row r="8" ht="15.0" customHeight="1">
      <c r="A8" s="2" t="s">
        <v>997</v>
      </c>
      <c r="B8" s="5">
        <v>826448.0</v>
      </c>
    </row>
    <row r="9" ht="15.0" customHeight="1">
      <c r="A9" s="2" t="s">
        <v>998</v>
      </c>
      <c r="B9" s="2" t="s">
        <v>999</v>
      </c>
    </row>
    <row r="10" ht="15.0" customHeight="1">
      <c r="A10" s="2" t="s">
        <v>1000</v>
      </c>
      <c r="B10" s="5">
        <v>4692.48</v>
      </c>
    </row>
    <row r="11" ht="15.0" customHeight="1">
      <c r="A11" s="2" t="s">
        <v>1001</v>
      </c>
      <c r="B11" s="5">
        <v>1827.07</v>
      </c>
    </row>
    <row r="13" ht="15.0" customHeight="1">
      <c r="A13" s="2" t="s">
        <v>1002</v>
      </c>
    </row>
    <row r="14" ht="15.0" customHeight="1">
      <c r="A14" s="2" t="s">
        <v>1003</v>
      </c>
      <c r="B14" s="2" t="s">
        <v>99</v>
      </c>
    </row>
    <row r="15" ht="15.0" customHeight="1">
      <c r="A15" s="2" t="s">
        <v>1004</v>
      </c>
      <c r="B15" s="5">
        <v>276000.0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6" width="8.71"/>
  </cols>
  <sheetData>
    <row r="1" ht="17.25" customHeight="1">
      <c r="A1" s="1" t="s">
        <v>1005</v>
      </c>
    </row>
    <row r="2">
      <c r="A2" s="2"/>
    </row>
    <row r="3" ht="15.0" customHeight="1">
      <c r="A3" s="2" t="s">
        <v>1006</v>
      </c>
    </row>
    <row r="4" ht="15.0" customHeight="1">
      <c r="A4" s="2" t="s">
        <v>1007</v>
      </c>
    </row>
    <row r="5" ht="15.0" customHeight="1">
      <c r="A5" s="2" t="s">
        <v>1008</v>
      </c>
    </row>
    <row r="6" ht="15.0" customHeight="1">
      <c r="A6" s="2" t="s">
        <v>1009</v>
      </c>
    </row>
    <row r="7" ht="15.0" customHeight="1">
      <c r="A7" s="2" t="s">
        <v>1010</v>
      </c>
    </row>
    <row r="8" ht="15.0" customHeight="1">
      <c r="A8" s="2" t="s">
        <v>1011</v>
      </c>
    </row>
    <row r="9" ht="15.0" customHeight="1">
      <c r="A9" s="2" t="s">
        <v>1012</v>
      </c>
    </row>
    <row r="10" ht="15.0" customHeight="1">
      <c r="A10" s="2" t="s">
        <v>1013</v>
      </c>
    </row>
    <row r="11" ht="15.0" customHeight="1">
      <c r="A11" s="2" t="s">
        <v>1014</v>
      </c>
    </row>
    <row r="12" ht="15.0" customHeight="1">
      <c r="A12" s="2" t="s">
        <v>1015</v>
      </c>
    </row>
    <row r="13">
      <c r="A13" s="2"/>
    </row>
    <row r="14" ht="15.0" customHeight="1">
      <c r="A14" s="2" t="s">
        <v>1016</v>
      </c>
    </row>
    <row r="15" ht="15.0" customHeight="1">
      <c r="A15" s="2" t="s">
        <v>1017</v>
      </c>
    </row>
    <row r="16" ht="15.0" customHeight="1">
      <c r="A16" s="2" t="s">
        <v>1018</v>
      </c>
    </row>
    <row r="17" ht="15.0" customHeight="1">
      <c r="A17" s="2" t="s">
        <v>1019</v>
      </c>
    </row>
    <row r="18" ht="15.0" customHeight="1">
      <c r="A18" s="2" t="s">
        <v>1020</v>
      </c>
    </row>
    <row r="19">
      <c r="A19" s="2"/>
    </row>
    <row r="20" ht="15.0" customHeight="1">
      <c r="A20" s="2" t="s">
        <v>1021</v>
      </c>
    </row>
    <row r="21" ht="15.0" customHeight="1">
      <c r="A21" s="2" t="s">
        <v>1022</v>
      </c>
    </row>
    <row r="22" ht="15.0" customHeight="1">
      <c r="A22" s="2" t="s">
        <v>1023</v>
      </c>
    </row>
    <row r="23" ht="15.0" customHeight="1">
      <c r="A23" s="2" t="s">
        <v>1024</v>
      </c>
    </row>
    <row r="24" ht="15.0" customHeight="1">
      <c r="A24" s="2" t="s">
        <v>1025</v>
      </c>
    </row>
    <row r="25" ht="15.0" customHeight="1">
      <c r="A25" s="2" t="s">
        <v>1026</v>
      </c>
    </row>
    <row r="26" ht="15.75" customHeight="1">
      <c r="A26" s="2"/>
    </row>
    <row r="27" ht="15.0" customHeight="1">
      <c r="A27" s="2" t="s">
        <v>1027</v>
      </c>
    </row>
    <row r="28" ht="15.0" customHeight="1">
      <c r="A28" s="2" t="s">
        <v>1028</v>
      </c>
    </row>
    <row r="29" ht="15.75" customHeight="1">
      <c r="A29" s="2"/>
    </row>
    <row r="30" ht="15.0" customHeight="1">
      <c r="A30" s="2" t="s">
        <v>1029</v>
      </c>
    </row>
    <row r="31" ht="15.0" customHeight="1">
      <c r="A31" s="2" t="s">
        <v>1030</v>
      </c>
    </row>
    <row r="32" ht="15.0" customHeight="1">
      <c r="A32" s="2" t="s">
        <v>1031</v>
      </c>
    </row>
    <row r="33" ht="15.0" customHeight="1">
      <c r="A33" s="2" t="s">
        <v>1032</v>
      </c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